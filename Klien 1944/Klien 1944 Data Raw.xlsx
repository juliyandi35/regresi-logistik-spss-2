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Eviews DL Selasa\"/>
    </mc:Choice>
  </mc:AlternateContent>
  <xr:revisionPtr revIDLastSave="0" documentId="13_ncr:1_{1E689ACE-4B00-4C4C-97B1-28F8E94073A6}" xr6:coauthVersionLast="47" xr6:coauthVersionMax="47" xr10:uidLastSave="{00000000-0000-0000-0000-000000000000}"/>
  <bookViews>
    <workbookView xWindow="-110" yWindow="-110" windowWidth="19420" windowHeight="10300" firstSheet="7" activeTab="14" xr2:uid="{40320CF7-56D0-4262-A348-BC4FD614AABC}"/>
  </bookViews>
  <sheets>
    <sheet name="Average Total Assets" sheetId="2" r:id="rId1"/>
    <sheet name="ch receivable" sheetId="1" r:id="rId2"/>
    <sheet name="ch in cash sales" sheetId="3" r:id="rId3"/>
    <sheet name="Ch In earning" sheetId="4" r:id="rId4"/>
    <sheet name="Financial Performance" sheetId="5" r:id="rId5"/>
    <sheet name="WC" sheetId="6" r:id="rId6"/>
    <sheet name="NCO" sheetId="7" r:id="rId7"/>
    <sheet name="FIN" sheetId="8" r:id="rId8"/>
    <sheet name="RRST ACCRUAL" sheetId="9" r:id="rId9"/>
    <sheet name="FScore(Y)" sheetId="10" r:id="rId10"/>
    <sheet name="X1" sheetId="13" r:id="rId11"/>
    <sheet name="X2" sheetId="14" r:id="rId12"/>
    <sheet name="X3" sheetId="15" r:id="rId13"/>
    <sheet name="X4 dan X5" sheetId="16" r:id="rId14"/>
    <sheet name="Data" sheetId="17" r:id="rId15"/>
    <sheet name="Lembar1" sheetId="11" r:id="rId16"/>
    <sheet name="Lembar2" sheetId="12" r:id="rId17"/>
  </sheets>
  <definedNames>
    <definedName name="ava">'Average Total Assets'!$F:$F</definedName>
    <definedName name="kode">'Average Total Assets'!$B:$B</definedName>
    <definedName name="th">'Average Total Assets'!$C:$C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4" l="1"/>
  <c r="J151" i="3"/>
  <c r="G10" i="3"/>
  <c r="G5" i="3"/>
  <c r="F5" i="5"/>
  <c r="F4" i="6"/>
  <c r="F4" i="8"/>
  <c r="E4" i="10"/>
  <c r="G15" i="3"/>
  <c r="F81" i="9"/>
  <c r="E81" i="9"/>
  <c r="E80" i="5"/>
  <c r="D81" i="5"/>
  <c r="E78" i="5"/>
  <c r="D78" i="5"/>
  <c r="F75" i="5"/>
  <c r="E75" i="5"/>
  <c r="D75" i="5"/>
  <c r="F68" i="5"/>
  <c r="E68" i="5"/>
  <c r="D68" i="5"/>
  <c r="D69" i="5"/>
  <c r="E70" i="5"/>
  <c r="D70" i="5"/>
  <c r="E71" i="5"/>
  <c r="H90" i="4"/>
  <c r="E7" i="17"/>
  <c r="E17" i="17"/>
  <c r="E21" i="17"/>
  <c r="E25" i="17"/>
  <c r="E29" i="17"/>
  <c r="E33" i="17"/>
  <c r="E37" i="17"/>
  <c r="E41" i="17"/>
  <c r="E45" i="17"/>
  <c r="E49" i="17"/>
  <c r="E53" i="17"/>
  <c r="E62" i="17"/>
  <c r="E69" i="17"/>
  <c r="E73" i="17"/>
  <c r="E77" i="17"/>
  <c r="E81" i="17"/>
  <c r="E85" i="17"/>
  <c r="E89" i="17"/>
  <c r="E93" i="17"/>
  <c r="E97" i="17"/>
  <c r="E101" i="17"/>
  <c r="E105" i="17"/>
  <c r="E109" i="17"/>
  <c r="E113" i="17"/>
  <c r="E117" i="17"/>
  <c r="E120" i="17"/>
  <c r="E121" i="17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3" i="17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3" i="11"/>
  <c r="J4" i="17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34" i="17"/>
  <c r="J35" i="17"/>
  <c r="J36" i="17"/>
  <c r="J3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3" i="17"/>
  <c r="J64" i="17"/>
  <c r="J65" i="17"/>
  <c r="J66" i="17"/>
  <c r="J67" i="17"/>
  <c r="J68" i="17"/>
  <c r="J69" i="17"/>
  <c r="J70" i="17"/>
  <c r="J71" i="17"/>
  <c r="J72" i="17"/>
  <c r="J73" i="17"/>
  <c r="J74" i="17"/>
  <c r="J75" i="17"/>
  <c r="J76" i="17"/>
  <c r="J77" i="17"/>
  <c r="J78" i="17"/>
  <c r="J79" i="17"/>
  <c r="J80" i="17"/>
  <c r="J81" i="17"/>
  <c r="J82" i="17"/>
  <c r="J83" i="17"/>
  <c r="J84" i="17"/>
  <c r="J85" i="17"/>
  <c r="J86" i="17"/>
  <c r="J87" i="17"/>
  <c r="J88" i="17"/>
  <c r="J89" i="17"/>
  <c r="J90" i="17"/>
  <c r="J91" i="17"/>
  <c r="J92" i="17"/>
  <c r="J93" i="17"/>
  <c r="J94" i="17"/>
  <c r="J95" i="17"/>
  <c r="J96" i="17"/>
  <c r="J97" i="17"/>
  <c r="J98" i="17"/>
  <c r="J99" i="17"/>
  <c r="J100" i="17"/>
  <c r="J101" i="17"/>
  <c r="J102" i="17"/>
  <c r="J103" i="17"/>
  <c r="J104" i="17"/>
  <c r="J105" i="17"/>
  <c r="J106" i="17"/>
  <c r="J107" i="17"/>
  <c r="J108" i="17"/>
  <c r="J109" i="17"/>
  <c r="J110" i="17"/>
  <c r="J111" i="17"/>
  <c r="J112" i="17"/>
  <c r="J113" i="17"/>
  <c r="J114" i="17"/>
  <c r="J115" i="17"/>
  <c r="J116" i="17"/>
  <c r="J117" i="17"/>
  <c r="J118" i="17"/>
  <c r="J119" i="17"/>
  <c r="J120" i="17"/>
  <c r="J121" i="17"/>
  <c r="J122" i="17"/>
  <c r="J123" i="17"/>
  <c r="J124" i="17"/>
  <c r="J125" i="17"/>
  <c r="J126" i="17"/>
  <c r="J127" i="17"/>
  <c r="J128" i="17"/>
  <c r="J129" i="17"/>
  <c r="J130" i="17"/>
  <c r="J131" i="17"/>
  <c r="J132" i="17"/>
  <c r="J133" i="17"/>
  <c r="J134" i="17"/>
  <c r="J135" i="17"/>
  <c r="J136" i="17"/>
  <c r="J137" i="17"/>
  <c r="J138" i="17"/>
  <c r="J139" i="17"/>
  <c r="J140" i="17"/>
  <c r="J141" i="17"/>
  <c r="J142" i="17"/>
  <c r="J3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D140" i="17"/>
  <c r="E140" i="17" s="1"/>
  <c r="D141" i="17"/>
  <c r="E141" i="17" s="1"/>
  <c r="D142" i="17"/>
  <c r="E142" i="17" s="1"/>
  <c r="D139" i="17"/>
  <c r="E139" i="17" s="1"/>
  <c r="D136" i="17"/>
  <c r="E136" i="17" s="1"/>
  <c r="D137" i="17"/>
  <c r="E137" i="17" s="1"/>
  <c r="D138" i="17"/>
  <c r="E138" i="17" s="1"/>
  <c r="D135" i="17"/>
  <c r="E135" i="17" s="1"/>
  <c r="D132" i="17"/>
  <c r="E132" i="17" s="1"/>
  <c r="D133" i="17"/>
  <c r="E133" i="17" s="1"/>
  <c r="D134" i="17"/>
  <c r="E134" i="17" s="1"/>
  <c r="D131" i="17"/>
  <c r="E131" i="17" s="1"/>
  <c r="D128" i="17"/>
  <c r="E128" i="17" s="1"/>
  <c r="D129" i="17"/>
  <c r="E129" i="17" s="1"/>
  <c r="D130" i="17"/>
  <c r="E130" i="17" s="1"/>
  <c r="D127" i="17"/>
  <c r="E127" i="17" s="1"/>
  <c r="D124" i="17"/>
  <c r="E124" i="17" s="1"/>
  <c r="D125" i="17"/>
  <c r="E125" i="17" s="1"/>
  <c r="D126" i="17"/>
  <c r="E126" i="17" s="1"/>
  <c r="D123" i="17"/>
  <c r="E123" i="17" s="1"/>
  <c r="D120" i="17"/>
  <c r="D121" i="17"/>
  <c r="D119" i="17"/>
  <c r="E119" i="17" s="1"/>
  <c r="D116" i="17"/>
  <c r="E116" i="17" s="1"/>
  <c r="D117" i="17"/>
  <c r="D118" i="17"/>
  <c r="E118" i="17" s="1"/>
  <c r="D115" i="17"/>
  <c r="E115" i="17" s="1"/>
  <c r="D112" i="17"/>
  <c r="E112" i="17" s="1"/>
  <c r="D113" i="17"/>
  <c r="D114" i="17"/>
  <c r="E114" i="17" s="1"/>
  <c r="D111" i="17"/>
  <c r="E111" i="17" s="1"/>
  <c r="D108" i="17"/>
  <c r="E108" i="17" s="1"/>
  <c r="D109" i="17"/>
  <c r="D110" i="17"/>
  <c r="E110" i="17" s="1"/>
  <c r="D107" i="17"/>
  <c r="E107" i="17" s="1"/>
  <c r="D104" i="17"/>
  <c r="E104" i="17" s="1"/>
  <c r="D105" i="17"/>
  <c r="D106" i="17"/>
  <c r="E106" i="17" s="1"/>
  <c r="D103" i="17"/>
  <c r="E103" i="17" s="1"/>
  <c r="D100" i="17"/>
  <c r="E100" i="17" s="1"/>
  <c r="D101" i="17"/>
  <c r="D102" i="17"/>
  <c r="E102" i="17" s="1"/>
  <c r="D99" i="17"/>
  <c r="E99" i="17" s="1"/>
  <c r="D96" i="17"/>
  <c r="E96" i="17" s="1"/>
  <c r="D97" i="17"/>
  <c r="D98" i="17"/>
  <c r="E98" i="17" s="1"/>
  <c r="D95" i="17"/>
  <c r="E95" i="17" s="1"/>
  <c r="D92" i="17"/>
  <c r="E92" i="17" s="1"/>
  <c r="D93" i="17"/>
  <c r="D94" i="17"/>
  <c r="E94" i="17" s="1"/>
  <c r="D91" i="17"/>
  <c r="E91" i="17" s="1"/>
  <c r="D88" i="17"/>
  <c r="E88" i="17" s="1"/>
  <c r="D89" i="17"/>
  <c r="D90" i="17"/>
  <c r="E90" i="17" s="1"/>
  <c r="D87" i="17"/>
  <c r="E87" i="17" s="1"/>
  <c r="D84" i="17"/>
  <c r="E84" i="17" s="1"/>
  <c r="D85" i="17"/>
  <c r="D86" i="17"/>
  <c r="E86" i="17" s="1"/>
  <c r="D83" i="17"/>
  <c r="E83" i="17" s="1"/>
  <c r="D80" i="17"/>
  <c r="E80" i="17" s="1"/>
  <c r="D81" i="17"/>
  <c r="D82" i="17"/>
  <c r="E82" i="17" s="1"/>
  <c r="D79" i="17"/>
  <c r="E79" i="17" s="1"/>
  <c r="D76" i="17"/>
  <c r="E76" i="17" s="1"/>
  <c r="D77" i="17"/>
  <c r="D78" i="17"/>
  <c r="E78" i="17" s="1"/>
  <c r="D75" i="17"/>
  <c r="E75" i="17" s="1"/>
  <c r="D72" i="17"/>
  <c r="E72" i="17" s="1"/>
  <c r="D73" i="17"/>
  <c r="D74" i="17"/>
  <c r="E74" i="17" s="1"/>
  <c r="D71" i="17"/>
  <c r="E71" i="17" s="1"/>
  <c r="D68" i="17"/>
  <c r="E68" i="17" s="1"/>
  <c r="D69" i="17"/>
  <c r="D70" i="17"/>
  <c r="E70" i="17" s="1"/>
  <c r="D67" i="17"/>
  <c r="E67" i="17" s="1"/>
  <c r="D64" i="17"/>
  <c r="E64" i="17" s="1"/>
  <c r="D62" i="17"/>
  <c r="D60" i="17"/>
  <c r="E60" i="17" s="1"/>
  <c r="D59" i="17"/>
  <c r="E59" i="17" s="1"/>
  <c r="D52" i="17"/>
  <c r="E52" i="17" s="1"/>
  <c r="D53" i="17"/>
  <c r="D54" i="17"/>
  <c r="E54" i="17" s="1"/>
  <c r="D51" i="17"/>
  <c r="E51" i="17" s="1"/>
  <c r="D48" i="17"/>
  <c r="E48" i="17" s="1"/>
  <c r="D49" i="17"/>
  <c r="D50" i="17"/>
  <c r="E50" i="17" s="1"/>
  <c r="D47" i="17"/>
  <c r="E47" i="17" s="1"/>
  <c r="D44" i="17"/>
  <c r="E44" i="17" s="1"/>
  <c r="D45" i="17"/>
  <c r="D46" i="17"/>
  <c r="E46" i="17" s="1"/>
  <c r="D43" i="17"/>
  <c r="E43" i="17" s="1"/>
  <c r="D40" i="17"/>
  <c r="E40" i="17" s="1"/>
  <c r="D41" i="17"/>
  <c r="D42" i="17"/>
  <c r="E42" i="17" s="1"/>
  <c r="D39" i="17"/>
  <c r="E39" i="17" s="1"/>
  <c r="D36" i="17"/>
  <c r="E36" i="17" s="1"/>
  <c r="D37" i="17"/>
  <c r="D38" i="17"/>
  <c r="E38" i="17" s="1"/>
  <c r="D35" i="17"/>
  <c r="E35" i="17" s="1"/>
  <c r="D32" i="17"/>
  <c r="E32" i="17" s="1"/>
  <c r="D33" i="17"/>
  <c r="D34" i="17"/>
  <c r="E34" i="17" s="1"/>
  <c r="D31" i="17"/>
  <c r="E31" i="17" s="1"/>
  <c r="D28" i="17"/>
  <c r="E28" i="17" s="1"/>
  <c r="D29" i="17"/>
  <c r="D30" i="17"/>
  <c r="E30" i="17" s="1"/>
  <c r="D27" i="17"/>
  <c r="E27" i="17" s="1"/>
  <c r="D24" i="17"/>
  <c r="E24" i="17" s="1"/>
  <c r="D25" i="17"/>
  <c r="D26" i="17"/>
  <c r="E26" i="17" s="1"/>
  <c r="D23" i="17"/>
  <c r="E23" i="17" s="1"/>
  <c r="D20" i="17"/>
  <c r="E20" i="17" s="1"/>
  <c r="D21" i="17"/>
  <c r="D22" i="17"/>
  <c r="E22" i="17" s="1"/>
  <c r="D19" i="17"/>
  <c r="E19" i="17" s="1"/>
  <c r="D16" i="17"/>
  <c r="E16" i="17" s="1"/>
  <c r="D17" i="17"/>
  <c r="D18" i="17"/>
  <c r="E18" i="17" s="1"/>
  <c r="D15" i="17"/>
  <c r="E15" i="17" s="1"/>
  <c r="D12" i="17"/>
  <c r="E12" i="17" s="1"/>
  <c r="D14" i="17"/>
  <c r="E14" i="17" s="1"/>
  <c r="D11" i="17"/>
  <c r="E11" i="17" s="1"/>
  <c r="D8" i="17"/>
  <c r="E8" i="17" s="1"/>
  <c r="D10" i="17"/>
  <c r="E10" i="17" s="1"/>
  <c r="D7" i="17"/>
  <c r="D6" i="17"/>
  <c r="E6" i="17" s="1"/>
  <c r="D3" i="17"/>
  <c r="E3" i="17" s="1"/>
  <c r="F142" i="14"/>
  <c r="F141" i="14"/>
  <c r="F140" i="14"/>
  <c r="F139" i="14"/>
  <c r="F138" i="14"/>
  <c r="F137" i="14"/>
  <c r="F136" i="14"/>
  <c r="F135" i="14"/>
  <c r="F134" i="14"/>
  <c r="F133" i="14"/>
  <c r="F132" i="14"/>
  <c r="F131" i="14"/>
  <c r="F130" i="14"/>
  <c r="F129" i="14"/>
  <c r="F128" i="14"/>
  <c r="F127" i="14"/>
  <c r="F126" i="14"/>
  <c r="F125" i="14"/>
  <c r="F124" i="14"/>
  <c r="F123" i="14"/>
  <c r="F122" i="14"/>
  <c r="F121" i="14"/>
  <c r="F120" i="14"/>
  <c r="F119" i="14"/>
  <c r="F118" i="14"/>
  <c r="F117" i="14"/>
  <c r="F116" i="14"/>
  <c r="F115" i="14"/>
  <c r="F114" i="14"/>
  <c r="F113" i="14"/>
  <c r="F112" i="14"/>
  <c r="F111" i="14"/>
  <c r="F110" i="14"/>
  <c r="F109" i="14"/>
  <c r="F108" i="14"/>
  <c r="F107" i="14"/>
  <c r="F106" i="14"/>
  <c r="F105" i="14"/>
  <c r="F104" i="14"/>
  <c r="F103" i="14"/>
  <c r="F102" i="14"/>
  <c r="F101" i="14"/>
  <c r="F100" i="14"/>
  <c r="F99" i="14"/>
  <c r="F98" i="14"/>
  <c r="F97" i="14"/>
  <c r="F96" i="14"/>
  <c r="F95" i="14"/>
  <c r="F94" i="14"/>
  <c r="F93" i="14"/>
  <c r="F92" i="14"/>
  <c r="F91" i="14"/>
  <c r="F90" i="14"/>
  <c r="F89" i="14"/>
  <c r="F88" i="14"/>
  <c r="F87" i="14"/>
  <c r="F86" i="14"/>
  <c r="F85" i="14"/>
  <c r="F84" i="14"/>
  <c r="F83" i="14"/>
  <c r="F82" i="14"/>
  <c r="F81" i="14"/>
  <c r="F80" i="14"/>
  <c r="F79" i="14"/>
  <c r="F78" i="14"/>
  <c r="F77" i="14"/>
  <c r="F76" i="14"/>
  <c r="F75" i="14"/>
  <c r="F74" i="14"/>
  <c r="F73" i="14"/>
  <c r="F72" i="14"/>
  <c r="F71" i="14"/>
  <c r="F70" i="14"/>
  <c r="F69" i="14"/>
  <c r="F68" i="14"/>
  <c r="F67" i="14"/>
  <c r="F66" i="14"/>
  <c r="F65" i="14"/>
  <c r="F64" i="14"/>
  <c r="F63" i="14"/>
  <c r="F62" i="14"/>
  <c r="F61" i="14"/>
  <c r="F60" i="14"/>
  <c r="F59" i="14"/>
  <c r="F58" i="14"/>
  <c r="F57" i="14"/>
  <c r="F56" i="14"/>
  <c r="F55" i="14"/>
  <c r="F54" i="14"/>
  <c r="F53" i="14"/>
  <c r="F52" i="14"/>
  <c r="F51" i="14"/>
  <c r="F50" i="14"/>
  <c r="F49" i="14"/>
  <c r="F48" i="14"/>
  <c r="F47" i="14"/>
  <c r="F46" i="14"/>
  <c r="F45" i="14"/>
  <c r="F44" i="14"/>
  <c r="F43" i="14"/>
  <c r="F42" i="14"/>
  <c r="F41" i="14"/>
  <c r="F40" i="14"/>
  <c r="F39" i="14"/>
  <c r="F38" i="14"/>
  <c r="F37" i="14"/>
  <c r="F36" i="14"/>
  <c r="F35" i="14"/>
  <c r="F34" i="14"/>
  <c r="F33" i="14"/>
  <c r="F32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3" i="14"/>
  <c r="E142" i="13" l="1"/>
  <c r="E141" i="13"/>
  <c r="E140" i="13"/>
  <c r="E138" i="13"/>
  <c r="E137" i="13"/>
  <c r="E136" i="13"/>
  <c r="E134" i="13"/>
  <c r="E133" i="13"/>
  <c r="E132" i="13"/>
  <c r="E130" i="13"/>
  <c r="E129" i="13"/>
  <c r="E128" i="13"/>
  <c r="E126" i="13"/>
  <c r="E125" i="13"/>
  <c r="E124" i="13"/>
  <c r="E122" i="13"/>
  <c r="E121" i="13"/>
  <c r="E120" i="13"/>
  <c r="E118" i="13"/>
  <c r="E117" i="13"/>
  <c r="E116" i="13"/>
  <c r="E114" i="13"/>
  <c r="E113" i="13"/>
  <c r="E112" i="13"/>
  <c r="E110" i="13"/>
  <c r="E109" i="13"/>
  <c r="E108" i="13"/>
  <c r="E106" i="13"/>
  <c r="E105" i="13"/>
  <c r="E104" i="13"/>
  <c r="E102" i="13"/>
  <c r="E101" i="13"/>
  <c r="E100" i="13"/>
  <c r="E98" i="13"/>
  <c r="E97" i="13"/>
  <c r="E96" i="13"/>
  <c r="E94" i="13"/>
  <c r="E93" i="13"/>
  <c r="E92" i="13"/>
  <c r="E90" i="13"/>
  <c r="E89" i="13"/>
  <c r="E88" i="13"/>
  <c r="E86" i="13"/>
  <c r="E85" i="13"/>
  <c r="E84" i="13"/>
  <c r="L4" i="12" l="1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3" i="12"/>
  <c r="C143" i="11" l="1"/>
  <c r="B147" i="11"/>
  <c r="B149" i="11" s="1"/>
  <c r="T4" i="11"/>
  <c r="T3" i="11"/>
  <c r="AO13" i="11" s="1"/>
  <c r="AP13" i="11" s="1"/>
  <c r="AQ13" i="11" s="1"/>
  <c r="AB45" i="11"/>
  <c r="AC45" i="11" s="1"/>
  <c r="AD45" i="11" s="1"/>
  <c r="AB87" i="11"/>
  <c r="AC87" i="11" s="1"/>
  <c r="AD87" i="11" s="1"/>
  <c r="N3" i="11"/>
  <c r="AB13" i="11" s="1"/>
  <c r="AC13" i="11" s="1"/>
  <c r="AD13" i="11" s="1"/>
  <c r="O3" i="11"/>
  <c r="P3" i="11"/>
  <c r="Q3" i="11"/>
  <c r="R3" i="11"/>
  <c r="N4" i="11"/>
  <c r="O4" i="11"/>
  <c r="AE74" i="11" s="1"/>
  <c r="AF74" i="11" s="1"/>
  <c r="AG74" i="11" s="1"/>
  <c r="P4" i="11"/>
  <c r="Q4" i="11"/>
  <c r="AK14" i="11" s="1"/>
  <c r="AL14" i="11" s="1"/>
  <c r="AM14" i="11" s="1"/>
  <c r="R4" i="11"/>
  <c r="M4" i="11"/>
  <c r="Y14" i="11" s="1"/>
  <c r="Z14" i="11" s="1"/>
  <c r="AA14" i="11" s="1"/>
  <c r="M3" i="11"/>
  <c r="Y5" i="11" s="1"/>
  <c r="Z5" i="11" s="1"/>
  <c r="AA5" i="11" s="1"/>
  <c r="V30" i="11" l="1"/>
  <c r="W30" i="11" s="1"/>
  <c r="X30" i="11" s="1"/>
  <c r="AO9" i="11"/>
  <c r="AP9" i="11" s="1"/>
  <c r="AQ9" i="11" s="1"/>
  <c r="AO123" i="11"/>
  <c r="AP123" i="11" s="1"/>
  <c r="AQ123" i="11" s="1"/>
  <c r="AO115" i="11"/>
  <c r="AP115" i="11" s="1"/>
  <c r="AQ115" i="11" s="1"/>
  <c r="AO107" i="11"/>
  <c r="AP107" i="11" s="1"/>
  <c r="AQ107" i="11" s="1"/>
  <c r="AO99" i="11"/>
  <c r="AP99" i="11" s="1"/>
  <c r="AQ99" i="11" s="1"/>
  <c r="AO88" i="11"/>
  <c r="AP88" i="11" s="1"/>
  <c r="AQ88" i="11" s="1"/>
  <c r="AO72" i="11"/>
  <c r="AP72" i="11" s="1"/>
  <c r="AQ72" i="11" s="1"/>
  <c r="AO56" i="11"/>
  <c r="AP56" i="11" s="1"/>
  <c r="AQ56" i="11" s="1"/>
  <c r="AO40" i="11"/>
  <c r="AP40" i="11" s="1"/>
  <c r="AQ40" i="11" s="1"/>
  <c r="AO24" i="11"/>
  <c r="AP24" i="11" s="1"/>
  <c r="AQ24" i="11" s="1"/>
  <c r="AO8" i="11"/>
  <c r="AP8" i="11" s="1"/>
  <c r="AQ8" i="11" s="1"/>
  <c r="AO5" i="11"/>
  <c r="AP5" i="11" s="1"/>
  <c r="AQ5" i="11" s="1"/>
  <c r="AO122" i="11"/>
  <c r="AP122" i="11" s="1"/>
  <c r="AQ122" i="11" s="1"/>
  <c r="AO114" i="11"/>
  <c r="AP114" i="11" s="1"/>
  <c r="AQ114" i="11" s="1"/>
  <c r="AO106" i="11"/>
  <c r="AP106" i="11" s="1"/>
  <c r="AQ106" i="11" s="1"/>
  <c r="AO98" i="11"/>
  <c r="AP98" i="11" s="1"/>
  <c r="AQ98" i="11" s="1"/>
  <c r="AO85" i="11"/>
  <c r="AP85" i="11" s="1"/>
  <c r="AQ85" i="11" s="1"/>
  <c r="AO69" i="11"/>
  <c r="AP69" i="11" s="1"/>
  <c r="AQ69" i="11" s="1"/>
  <c r="AO53" i="11"/>
  <c r="AP53" i="11" s="1"/>
  <c r="AQ53" i="11" s="1"/>
  <c r="AO37" i="11"/>
  <c r="AP37" i="11" s="1"/>
  <c r="AQ37" i="11" s="1"/>
  <c r="AO21" i="11"/>
  <c r="AP21" i="11" s="1"/>
  <c r="AQ21" i="11" s="1"/>
  <c r="AO3" i="11"/>
  <c r="AP3" i="11" s="1"/>
  <c r="AQ3" i="11" s="1"/>
  <c r="AO119" i="11"/>
  <c r="AP119" i="11" s="1"/>
  <c r="AQ119" i="11" s="1"/>
  <c r="AO111" i="11"/>
  <c r="AP111" i="11" s="1"/>
  <c r="AQ111" i="11" s="1"/>
  <c r="AO103" i="11"/>
  <c r="AP103" i="11" s="1"/>
  <c r="AQ103" i="11" s="1"/>
  <c r="AO94" i="11"/>
  <c r="AP94" i="11" s="1"/>
  <c r="AQ94" i="11" s="1"/>
  <c r="AO80" i="11"/>
  <c r="AP80" i="11" s="1"/>
  <c r="AQ80" i="11" s="1"/>
  <c r="AO64" i="11"/>
  <c r="AP64" i="11" s="1"/>
  <c r="AQ64" i="11" s="1"/>
  <c r="AO48" i="11"/>
  <c r="AP48" i="11" s="1"/>
  <c r="AQ48" i="11" s="1"/>
  <c r="AO32" i="11"/>
  <c r="AP32" i="11" s="1"/>
  <c r="AQ32" i="11" s="1"/>
  <c r="AO16" i="11"/>
  <c r="AP16" i="11" s="1"/>
  <c r="AQ16" i="11" s="1"/>
  <c r="AO126" i="11"/>
  <c r="AP126" i="11" s="1"/>
  <c r="AQ126" i="11" s="1"/>
  <c r="AO118" i="11"/>
  <c r="AP118" i="11" s="1"/>
  <c r="AQ118" i="11" s="1"/>
  <c r="AO110" i="11"/>
  <c r="AP110" i="11" s="1"/>
  <c r="AQ110" i="11" s="1"/>
  <c r="AO102" i="11"/>
  <c r="AP102" i="11" s="1"/>
  <c r="AQ102" i="11" s="1"/>
  <c r="AO93" i="11"/>
  <c r="AP93" i="11" s="1"/>
  <c r="AQ93" i="11" s="1"/>
  <c r="AO77" i="11"/>
  <c r="AP77" i="11" s="1"/>
  <c r="AQ77" i="11" s="1"/>
  <c r="AO61" i="11"/>
  <c r="AP61" i="11" s="1"/>
  <c r="AQ61" i="11" s="1"/>
  <c r="AO45" i="11"/>
  <c r="AP45" i="11" s="1"/>
  <c r="AQ45" i="11" s="1"/>
  <c r="AO29" i="11"/>
  <c r="AP29" i="11" s="1"/>
  <c r="AQ29" i="11" s="1"/>
  <c r="AK22" i="11"/>
  <c r="AL22" i="11" s="1"/>
  <c r="AM22" i="11" s="1"/>
  <c r="V109" i="11"/>
  <c r="W109" i="11" s="1"/>
  <c r="X109" i="11" s="1"/>
  <c r="AK46" i="11"/>
  <c r="AL46" i="11" s="1"/>
  <c r="AM46" i="11" s="1"/>
  <c r="AH18" i="11"/>
  <c r="AI18" i="11" s="1"/>
  <c r="AJ18" i="11" s="1"/>
  <c r="V79" i="11"/>
  <c r="W79" i="11" s="1"/>
  <c r="X79" i="11" s="1"/>
  <c r="AK42" i="11"/>
  <c r="AL42" i="11" s="1"/>
  <c r="AM42" i="11" s="1"/>
  <c r="V8" i="11"/>
  <c r="W8" i="11" s="1"/>
  <c r="X8" i="11" s="1"/>
  <c r="AB11" i="11"/>
  <c r="AC11" i="11" s="1"/>
  <c r="AD11" i="11" s="1"/>
  <c r="AE10" i="11"/>
  <c r="AF10" i="11" s="1"/>
  <c r="AG10" i="11" s="1"/>
  <c r="V51" i="11"/>
  <c r="W51" i="11" s="1"/>
  <c r="X51" i="11" s="1"/>
  <c r="AK89" i="11"/>
  <c r="AL89" i="11" s="1"/>
  <c r="AM89" i="11" s="1"/>
  <c r="AO6" i="11"/>
  <c r="AP6" i="11" s="1"/>
  <c r="AQ6" i="11" s="1"/>
  <c r="AO10" i="11"/>
  <c r="AP10" i="11" s="1"/>
  <c r="AQ10" i="11" s="1"/>
  <c r="AO14" i="11"/>
  <c r="AP14" i="11" s="1"/>
  <c r="AQ14" i="11" s="1"/>
  <c r="AO18" i="11"/>
  <c r="AP18" i="11" s="1"/>
  <c r="AQ18" i="11" s="1"/>
  <c r="AO22" i="11"/>
  <c r="AP22" i="11" s="1"/>
  <c r="AQ22" i="11" s="1"/>
  <c r="AO26" i="11"/>
  <c r="AP26" i="11" s="1"/>
  <c r="AQ26" i="11" s="1"/>
  <c r="AO30" i="11"/>
  <c r="AP30" i="11" s="1"/>
  <c r="AQ30" i="11" s="1"/>
  <c r="AO34" i="11"/>
  <c r="AP34" i="11" s="1"/>
  <c r="AQ34" i="11" s="1"/>
  <c r="AO38" i="11"/>
  <c r="AP38" i="11" s="1"/>
  <c r="AQ38" i="11" s="1"/>
  <c r="AO42" i="11"/>
  <c r="AP42" i="11" s="1"/>
  <c r="AQ42" i="11" s="1"/>
  <c r="AO46" i="11"/>
  <c r="AP46" i="11" s="1"/>
  <c r="AQ46" i="11" s="1"/>
  <c r="AO50" i="11"/>
  <c r="AP50" i="11" s="1"/>
  <c r="AQ50" i="11" s="1"/>
  <c r="AO54" i="11"/>
  <c r="AP54" i="11" s="1"/>
  <c r="AQ54" i="11" s="1"/>
  <c r="AO58" i="11"/>
  <c r="AP58" i="11" s="1"/>
  <c r="AQ58" i="11" s="1"/>
  <c r="AO62" i="11"/>
  <c r="AP62" i="11" s="1"/>
  <c r="AQ62" i="11" s="1"/>
  <c r="AO66" i="11"/>
  <c r="AP66" i="11" s="1"/>
  <c r="AQ66" i="11" s="1"/>
  <c r="AO70" i="11"/>
  <c r="AP70" i="11" s="1"/>
  <c r="AQ70" i="11" s="1"/>
  <c r="AO74" i="11"/>
  <c r="AP74" i="11" s="1"/>
  <c r="AQ74" i="11" s="1"/>
  <c r="AO78" i="11"/>
  <c r="AP78" i="11" s="1"/>
  <c r="AQ78" i="11" s="1"/>
  <c r="AO82" i="11"/>
  <c r="AP82" i="11" s="1"/>
  <c r="AQ82" i="11" s="1"/>
  <c r="AO86" i="11"/>
  <c r="AP86" i="11" s="1"/>
  <c r="AQ86" i="11" s="1"/>
  <c r="AO90" i="11"/>
  <c r="AP90" i="11" s="1"/>
  <c r="AQ90" i="11" s="1"/>
  <c r="AO7" i="11"/>
  <c r="AP7" i="11" s="1"/>
  <c r="AQ7" i="11" s="1"/>
  <c r="AO11" i="11"/>
  <c r="AP11" i="11" s="1"/>
  <c r="AQ11" i="11" s="1"/>
  <c r="AO15" i="11"/>
  <c r="AP15" i="11" s="1"/>
  <c r="AQ15" i="11" s="1"/>
  <c r="AO19" i="11"/>
  <c r="AP19" i="11" s="1"/>
  <c r="AQ19" i="11" s="1"/>
  <c r="AO23" i="11"/>
  <c r="AP23" i="11" s="1"/>
  <c r="AQ23" i="11" s="1"/>
  <c r="AO27" i="11"/>
  <c r="AP27" i="11" s="1"/>
  <c r="AQ27" i="11" s="1"/>
  <c r="AO31" i="11"/>
  <c r="AP31" i="11" s="1"/>
  <c r="AQ31" i="11" s="1"/>
  <c r="AO35" i="11"/>
  <c r="AP35" i="11" s="1"/>
  <c r="AQ35" i="11" s="1"/>
  <c r="AO39" i="11"/>
  <c r="AP39" i="11" s="1"/>
  <c r="AQ39" i="11" s="1"/>
  <c r="AO43" i="11"/>
  <c r="AP43" i="11" s="1"/>
  <c r="AQ43" i="11" s="1"/>
  <c r="AO47" i="11"/>
  <c r="AP47" i="11" s="1"/>
  <c r="AQ47" i="11" s="1"/>
  <c r="AO51" i="11"/>
  <c r="AP51" i="11" s="1"/>
  <c r="AQ51" i="11" s="1"/>
  <c r="AO55" i="11"/>
  <c r="AP55" i="11" s="1"/>
  <c r="AQ55" i="11" s="1"/>
  <c r="AO59" i="11"/>
  <c r="AP59" i="11" s="1"/>
  <c r="AQ59" i="11" s="1"/>
  <c r="AO63" i="11"/>
  <c r="AP63" i="11" s="1"/>
  <c r="AQ63" i="11" s="1"/>
  <c r="AO67" i="11"/>
  <c r="AP67" i="11" s="1"/>
  <c r="AQ67" i="11" s="1"/>
  <c r="AO71" i="11"/>
  <c r="AP71" i="11" s="1"/>
  <c r="AQ71" i="11" s="1"/>
  <c r="AO75" i="11"/>
  <c r="AP75" i="11" s="1"/>
  <c r="AQ75" i="11" s="1"/>
  <c r="AO79" i="11"/>
  <c r="AP79" i="11" s="1"/>
  <c r="AQ79" i="11" s="1"/>
  <c r="AO83" i="11"/>
  <c r="AP83" i="11" s="1"/>
  <c r="AQ83" i="11" s="1"/>
  <c r="AO87" i="11"/>
  <c r="AP87" i="11" s="1"/>
  <c r="AQ87" i="11" s="1"/>
  <c r="AO91" i="11"/>
  <c r="AP91" i="11" s="1"/>
  <c r="AQ91" i="11" s="1"/>
  <c r="AO95" i="11"/>
  <c r="AP95" i="11" s="1"/>
  <c r="AQ95" i="11" s="1"/>
  <c r="AO125" i="11"/>
  <c r="AP125" i="11" s="1"/>
  <c r="AQ125" i="11" s="1"/>
  <c r="AO121" i="11"/>
  <c r="AP121" i="11" s="1"/>
  <c r="AQ121" i="11" s="1"/>
  <c r="AO117" i="11"/>
  <c r="AP117" i="11" s="1"/>
  <c r="AQ117" i="11" s="1"/>
  <c r="AO113" i="11"/>
  <c r="AP113" i="11" s="1"/>
  <c r="AQ113" i="11" s="1"/>
  <c r="AO109" i="11"/>
  <c r="AP109" i="11" s="1"/>
  <c r="AQ109" i="11" s="1"/>
  <c r="AO105" i="11"/>
  <c r="AP105" i="11" s="1"/>
  <c r="AQ105" i="11" s="1"/>
  <c r="AO101" i="11"/>
  <c r="AP101" i="11" s="1"/>
  <c r="AQ101" i="11" s="1"/>
  <c r="AO97" i="11"/>
  <c r="AP97" i="11" s="1"/>
  <c r="AQ97" i="11" s="1"/>
  <c r="AO92" i="11"/>
  <c r="AP92" i="11" s="1"/>
  <c r="AQ92" i="11" s="1"/>
  <c r="AO84" i="11"/>
  <c r="AP84" i="11" s="1"/>
  <c r="AQ84" i="11" s="1"/>
  <c r="AO76" i="11"/>
  <c r="AP76" i="11" s="1"/>
  <c r="AQ76" i="11" s="1"/>
  <c r="AO68" i="11"/>
  <c r="AP68" i="11" s="1"/>
  <c r="AQ68" i="11" s="1"/>
  <c r="AO60" i="11"/>
  <c r="AP60" i="11" s="1"/>
  <c r="AQ60" i="11" s="1"/>
  <c r="AO52" i="11"/>
  <c r="AP52" i="11" s="1"/>
  <c r="AQ52" i="11" s="1"/>
  <c r="AO44" i="11"/>
  <c r="AP44" i="11" s="1"/>
  <c r="AQ44" i="11" s="1"/>
  <c r="AO36" i="11"/>
  <c r="AP36" i="11" s="1"/>
  <c r="AQ36" i="11" s="1"/>
  <c r="AO28" i="11"/>
  <c r="AP28" i="11" s="1"/>
  <c r="AQ28" i="11" s="1"/>
  <c r="AO20" i="11"/>
  <c r="AP20" i="11" s="1"/>
  <c r="AQ20" i="11" s="1"/>
  <c r="AO12" i="11"/>
  <c r="AP12" i="11" s="1"/>
  <c r="AQ12" i="11" s="1"/>
  <c r="AO4" i="11"/>
  <c r="AP4" i="11" s="1"/>
  <c r="AQ4" i="11" s="1"/>
  <c r="V21" i="11"/>
  <c r="W21" i="11" s="1"/>
  <c r="X21" i="11" s="1"/>
  <c r="AK86" i="11"/>
  <c r="AL86" i="11" s="1"/>
  <c r="AM86" i="11" s="1"/>
  <c r="AO124" i="11"/>
  <c r="AP124" i="11" s="1"/>
  <c r="AQ124" i="11" s="1"/>
  <c r="AO120" i="11"/>
  <c r="AP120" i="11" s="1"/>
  <c r="AQ120" i="11" s="1"/>
  <c r="AO116" i="11"/>
  <c r="AP116" i="11" s="1"/>
  <c r="AQ116" i="11" s="1"/>
  <c r="AO112" i="11"/>
  <c r="AP112" i="11" s="1"/>
  <c r="AQ112" i="11" s="1"/>
  <c r="AO108" i="11"/>
  <c r="AP108" i="11" s="1"/>
  <c r="AQ108" i="11" s="1"/>
  <c r="AO104" i="11"/>
  <c r="AP104" i="11" s="1"/>
  <c r="AQ104" i="11" s="1"/>
  <c r="AO100" i="11"/>
  <c r="AP100" i="11" s="1"/>
  <c r="AQ100" i="11" s="1"/>
  <c r="AO96" i="11"/>
  <c r="AP96" i="11" s="1"/>
  <c r="AQ96" i="11" s="1"/>
  <c r="AO89" i="11"/>
  <c r="AP89" i="11" s="1"/>
  <c r="AQ89" i="11" s="1"/>
  <c r="AO81" i="11"/>
  <c r="AP81" i="11" s="1"/>
  <c r="AQ81" i="11" s="1"/>
  <c r="AO73" i="11"/>
  <c r="AP73" i="11" s="1"/>
  <c r="AQ73" i="11" s="1"/>
  <c r="AO65" i="11"/>
  <c r="AP65" i="11" s="1"/>
  <c r="AQ65" i="11" s="1"/>
  <c r="AO57" i="11"/>
  <c r="AP57" i="11" s="1"/>
  <c r="AQ57" i="11" s="1"/>
  <c r="AO49" i="11"/>
  <c r="AP49" i="11" s="1"/>
  <c r="AQ49" i="11" s="1"/>
  <c r="AO41" i="11"/>
  <c r="AP41" i="11" s="1"/>
  <c r="AQ41" i="11" s="1"/>
  <c r="AO33" i="11"/>
  <c r="AP33" i="11" s="1"/>
  <c r="AQ33" i="11" s="1"/>
  <c r="AO25" i="11"/>
  <c r="AP25" i="11" s="1"/>
  <c r="AQ25" i="11" s="1"/>
  <c r="AO17" i="11"/>
  <c r="AP17" i="11" s="1"/>
  <c r="AQ17" i="11" s="1"/>
  <c r="Y117" i="11"/>
  <c r="Z117" i="11" s="1"/>
  <c r="AA117" i="11" s="1"/>
  <c r="AE126" i="11"/>
  <c r="AF126" i="11" s="1"/>
  <c r="AG126" i="11" s="1"/>
  <c r="AH125" i="11"/>
  <c r="AI125" i="11" s="1"/>
  <c r="AJ125" i="11" s="1"/>
  <c r="AH93" i="11"/>
  <c r="AI93" i="11" s="1"/>
  <c r="AJ93" i="11" s="1"/>
  <c r="AH38" i="11"/>
  <c r="AI38" i="11" s="1"/>
  <c r="AJ38" i="11" s="1"/>
  <c r="AH6" i="11"/>
  <c r="AI6" i="11" s="1"/>
  <c r="AJ6" i="11" s="1"/>
  <c r="V101" i="11"/>
  <c r="W101" i="11" s="1"/>
  <c r="X101" i="11" s="1"/>
  <c r="V9" i="11"/>
  <c r="W9" i="11" s="1"/>
  <c r="X9" i="11" s="1"/>
  <c r="Y100" i="11"/>
  <c r="Z100" i="11" s="1"/>
  <c r="AA100" i="11" s="1"/>
  <c r="Y69" i="11"/>
  <c r="Z69" i="11" s="1"/>
  <c r="AA69" i="11" s="1"/>
  <c r="Y42" i="11"/>
  <c r="Z42" i="11" s="1"/>
  <c r="AA42" i="11" s="1"/>
  <c r="AB119" i="11"/>
  <c r="AC119" i="11" s="1"/>
  <c r="AD119" i="11" s="1"/>
  <c r="AE115" i="11"/>
  <c r="AF115" i="11" s="1"/>
  <c r="AG115" i="11" s="1"/>
  <c r="V122" i="11"/>
  <c r="W122" i="11" s="1"/>
  <c r="X122" i="11" s="1"/>
  <c r="V94" i="11"/>
  <c r="W94" i="11" s="1"/>
  <c r="X94" i="11" s="1"/>
  <c r="V66" i="11"/>
  <c r="W66" i="11" s="1"/>
  <c r="X66" i="11" s="1"/>
  <c r="V37" i="11"/>
  <c r="W37" i="11" s="1"/>
  <c r="X37" i="11" s="1"/>
  <c r="Y122" i="11"/>
  <c r="Z122" i="11" s="1"/>
  <c r="AA122" i="11" s="1"/>
  <c r="Y110" i="11"/>
  <c r="Z110" i="11" s="1"/>
  <c r="AA110" i="11" s="1"/>
  <c r="Y96" i="11"/>
  <c r="Z96" i="11" s="1"/>
  <c r="AA96" i="11" s="1"/>
  <c r="Y80" i="11"/>
  <c r="Z80" i="11" s="1"/>
  <c r="AA80" i="11" s="1"/>
  <c r="Y68" i="11"/>
  <c r="Z68" i="11" s="1"/>
  <c r="AA68" i="11" s="1"/>
  <c r="Y53" i="11"/>
  <c r="Z53" i="11" s="1"/>
  <c r="AA53" i="11" s="1"/>
  <c r="Y37" i="11"/>
  <c r="Z37" i="11" s="1"/>
  <c r="AA37" i="11" s="1"/>
  <c r="Y25" i="11"/>
  <c r="Z25" i="11" s="1"/>
  <c r="AA25" i="11" s="1"/>
  <c r="Y10" i="11"/>
  <c r="Z10" i="11" s="1"/>
  <c r="AA10" i="11" s="1"/>
  <c r="AB109" i="11"/>
  <c r="AC109" i="11" s="1"/>
  <c r="AD109" i="11" s="1"/>
  <c r="AB66" i="11"/>
  <c r="AC66" i="11" s="1"/>
  <c r="AD66" i="11" s="1"/>
  <c r="AB23" i="11"/>
  <c r="AC23" i="11" s="1"/>
  <c r="AD23" i="11" s="1"/>
  <c r="AE105" i="11"/>
  <c r="AF105" i="11" s="1"/>
  <c r="AG105" i="11" s="1"/>
  <c r="AE33" i="11"/>
  <c r="AF33" i="11" s="1"/>
  <c r="AG33" i="11" s="1"/>
  <c r="AH110" i="11"/>
  <c r="AI110" i="11" s="1"/>
  <c r="AJ110" i="11" s="1"/>
  <c r="AH82" i="11"/>
  <c r="AI82" i="11" s="1"/>
  <c r="AJ82" i="11" s="1"/>
  <c r="AH50" i="11"/>
  <c r="AI50" i="11" s="1"/>
  <c r="AJ50" i="11" s="1"/>
  <c r="AH26" i="11"/>
  <c r="AI26" i="11" s="1"/>
  <c r="AJ26" i="11" s="1"/>
  <c r="AK110" i="11"/>
  <c r="AL110" i="11" s="1"/>
  <c r="AM110" i="11" s="1"/>
  <c r="AK66" i="11"/>
  <c r="AL66" i="11" s="1"/>
  <c r="AM66" i="11" s="1"/>
  <c r="AK25" i="11"/>
  <c r="AL25" i="11" s="1"/>
  <c r="AM25" i="11" s="1"/>
  <c r="Y101" i="11"/>
  <c r="Z101" i="11" s="1"/>
  <c r="AA101" i="11" s="1"/>
  <c r="Y89" i="11"/>
  <c r="Z89" i="11" s="1"/>
  <c r="AA89" i="11" s="1"/>
  <c r="Y74" i="11"/>
  <c r="Z74" i="11" s="1"/>
  <c r="AA74" i="11" s="1"/>
  <c r="Y58" i="11"/>
  <c r="Z58" i="11" s="1"/>
  <c r="AA58" i="11" s="1"/>
  <c r="Y46" i="11"/>
  <c r="Z46" i="11" s="1"/>
  <c r="AA46" i="11" s="1"/>
  <c r="Y32" i="11"/>
  <c r="Z32" i="11" s="1"/>
  <c r="AA32" i="11" s="1"/>
  <c r="Y16" i="11"/>
  <c r="Z16" i="11" s="1"/>
  <c r="AA16" i="11" s="1"/>
  <c r="Y4" i="11"/>
  <c r="Z4" i="11" s="1"/>
  <c r="AA4" i="11" s="1"/>
  <c r="AH69" i="11"/>
  <c r="AI69" i="11" s="1"/>
  <c r="AJ69" i="11" s="1"/>
  <c r="V73" i="11"/>
  <c r="W73" i="11" s="1"/>
  <c r="X73" i="11" s="1"/>
  <c r="V45" i="11"/>
  <c r="W45" i="11" s="1"/>
  <c r="X45" i="11" s="1"/>
  <c r="Y112" i="11"/>
  <c r="Z112" i="11" s="1"/>
  <c r="AA112" i="11" s="1"/>
  <c r="Y85" i="11"/>
  <c r="Z85" i="11" s="1"/>
  <c r="AA85" i="11" s="1"/>
  <c r="Y57" i="11"/>
  <c r="Z57" i="11" s="1"/>
  <c r="AA57" i="11" s="1"/>
  <c r="Y26" i="11"/>
  <c r="Z26" i="11" s="1"/>
  <c r="AA26" i="11" s="1"/>
  <c r="AB77" i="11"/>
  <c r="AC77" i="11" s="1"/>
  <c r="AD77" i="11" s="1"/>
  <c r="AB34" i="11"/>
  <c r="AC34" i="11" s="1"/>
  <c r="AD34" i="11" s="1"/>
  <c r="AE54" i="11"/>
  <c r="AF54" i="11" s="1"/>
  <c r="AG54" i="11" s="1"/>
  <c r="AH114" i="11"/>
  <c r="AI114" i="11" s="1"/>
  <c r="AJ114" i="11" s="1"/>
  <c r="AH90" i="11"/>
  <c r="AI90" i="11" s="1"/>
  <c r="AJ90" i="11" s="1"/>
  <c r="AH61" i="11"/>
  <c r="AI61" i="11" s="1"/>
  <c r="AJ61" i="11" s="1"/>
  <c r="AH29" i="11"/>
  <c r="AI29" i="11" s="1"/>
  <c r="AJ29" i="11" s="1"/>
  <c r="AH5" i="11"/>
  <c r="AI5" i="11" s="1"/>
  <c r="AJ5" i="11" s="1"/>
  <c r="V115" i="11"/>
  <c r="W115" i="11" s="1"/>
  <c r="X115" i="11" s="1"/>
  <c r="V87" i="11"/>
  <c r="W87" i="11" s="1"/>
  <c r="X87" i="11" s="1"/>
  <c r="V58" i="11"/>
  <c r="W58" i="11" s="1"/>
  <c r="X58" i="11" s="1"/>
  <c r="Y121" i="11"/>
  <c r="Z121" i="11" s="1"/>
  <c r="AA121" i="11" s="1"/>
  <c r="Y106" i="11"/>
  <c r="Z106" i="11" s="1"/>
  <c r="AA106" i="11" s="1"/>
  <c r="Y90" i="11"/>
  <c r="Z90" i="11" s="1"/>
  <c r="AA90" i="11" s="1"/>
  <c r="Y78" i="11"/>
  <c r="Z78" i="11" s="1"/>
  <c r="AA78" i="11" s="1"/>
  <c r="Y64" i="11"/>
  <c r="Z64" i="11" s="1"/>
  <c r="AA64" i="11" s="1"/>
  <c r="Y48" i="11"/>
  <c r="Z48" i="11" s="1"/>
  <c r="AA48" i="11" s="1"/>
  <c r="Y36" i="11"/>
  <c r="Z36" i="11" s="1"/>
  <c r="AA36" i="11" s="1"/>
  <c r="Y21" i="11"/>
  <c r="Z21" i="11" s="1"/>
  <c r="AA21" i="11" s="1"/>
  <c r="AB98" i="11"/>
  <c r="AC98" i="11" s="1"/>
  <c r="AD98" i="11" s="1"/>
  <c r="AB55" i="11"/>
  <c r="AC55" i="11" s="1"/>
  <c r="AD55" i="11" s="1"/>
  <c r="AE94" i="11"/>
  <c r="AF94" i="11" s="1"/>
  <c r="AG94" i="11" s="1"/>
  <c r="AH102" i="11"/>
  <c r="AI102" i="11" s="1"/>
  <c r="AJ102" i="11" s="1"/>
  <c r="AH70" i="11"/>
  <c r="AI70" i="11" s="1"/>
  <c r="AJ70" i="11" s="1"/>
  <c r="AH46" i="11"/>
  <c r="AI46" i="11" s="1"/>
  <c r="AJ46" i="11" s="1"/>
  <c r="AK106" i="11"/>
  <c r="AL106" i="11" s="1"/>
  <c r="AM106" i="11" s="1"/>
  <c r="AK65" i="11"/>
  <c r="AL65" i="11" s="1"/>
  <c r="AM65" i="11" s="1"/>
  <c r="AE7" i="11"/>
  <c r="AF7" i="11" s="1"/>
  <c r="AG7" i="11" s="1"/>
  <c r="AE11" i="11"/>
  <c r="AF11" i="11" s="1"/>
  <c r="AG11" i="11" s="1"/>
  <c r="AE15" i="11"/>
  <c r="AF15" i="11" s="1"/>
  <c r="AG15" i="11" s="1"/>
  <c r="AE19" i="11"/>
  <c r="AF19" i="11" s="1"/>
  <c r="AG19" i="11" s="1"/>
  <c r="AE23" i="11"/>
  <c r="AF23" i="11" s="1"/>
  <c r="AG23" i="11" s="1"/>
  <c r="AE27" i="11"/>
  <c r="AF27" i="11" s="1"/>
  <c r="AG27" i="11" s="1"/>
  <c r="AE31" i="11"/>
  <c r="AF31" i="11" s="1"/>
  <c r="AG31" i="11" s="1"/>
  <c r="AE35" i="11"/>
  <c r="AF35" i="11" s="1"/>
  <c r="AG35" i="11" s="1"/>
  <c r="AE39" i="11"/>
  <c r="AF39" i="11" s="1"/>
  <c r="AG39" i="11" s="1"/>
  <c r="AE43" i="11"/>
  <c r="AF43" i="11" s="1"/>
  <c r="AG43" i="11" s="1"/>
  <c r="AE47" i="11"/>
  <c r="AF47" i="11" s="1"/>
  <c r="AG47" i="11" s="1"/>
  <c r="AE51" i="11"/>
  <c r="AF51" i="11" s="1"/>
  <c r="AG51" i="11" s="1"/>
  <c r="AE55" i="11"/>
  <c r="AF55" i="11" s="1"/>
  <c r="AG55" i="11" s="1"/>
  <c r="AE59" i="11"/>
  <c r="AF59" i="11" s="1"/>
  <c r="AG59" i="11" s="1"/>
  <c r="AE63" i="11"/>
  <c r="AF63" i="11" s="1"/>
  <c r="AG63" i="11" s="1"/>
  <c r="AE67" i="11"/>
  <c r="AF67" i="11" s="1"/>
  <c r="AG67" i="11" s="1"/>
  <c r="AE71" i="11"/>
  <c r="AF71" i="11" s="1"/>
  <c r="AG71" i="11" s="1"/>
  <c r="AE75" i="11"/>
  <c r="AF75" i="11" s="1"/>
  <c r="AG75" i="11" s="1"/>
  <c r="AE79" i="11"/>
  <c r="AF79" i="11" s="1"/>
  <c r="AG79" i="11" s="1"/>
  <c r="AE83" i="11"/>
  <c r="AF83" i="11" s="1"/>
  <c r="AG83" i="11" s="1"/>
  <c r="AE87" i="11"/>
  <c r="AF87" i="11" s="1"/>
  <c r="AG87" i="11" s="1"/>
  <c r="AE91" i="11"/>
  <c r="AF91" i="11" s="1"/>
  <c r="AG91" i="11" s="1"/>
  <c r="AE4" i="11"/>
  <c r="AF4" i="11" s="1"/>
  <c r="AG4" i="11" s="1"/>
  <c r="AE8" i="11"/>
  <c r="AF8" i="11" s="1"/>
  <c r="AG8" i="11" s="1"/>
  <c r="AE12" i="11"/>
  <c r="AF12" i="11" s="1"/>
  <c r="AG12" i="11" s="1"/>
  <c r="AE16" i="11"/>
  <c r="AF16" i="11" s="1"/>
  <c r="AG16" i="11" s="1"/>
  <c r="AE20" i="11"/>
  <c r="AF20" i="11" s="1"/>
  <c r="AG20" i="11" s="1"/>
  <c r="AE24" i="11"/>
  <c r="AF24" i="11" s="1"/>
  <c r="AG24" i="11" s="1"/>
  <c r="AE28" i="11"/>
  <c r="AF28" i="11" s="1"/>
  <c r="AG28" i="11" s="1"/>
  <c r="AE32" i="11"/>
  <c r="AF32" i="11" s="1"/>
  <c r="AG32" i="11" s="1"/>
  <c r="AE36" i="11"/>
  <c r="AF36" i="11" s="1"/>
  <c r="AG36" i="11" s="1"/>
  <c r="AE40" i="11"/>
  <c r="AF40" i="11" s="1"/>
  <c r="AG40" i="11" s="1"/>
  <c r="AE44" i="11"/>
  <c r="AF44" i="11" s="1"/>
  <c r="AG44" i="11" s="1"/>
  <c r="AE48" i="11"/>
  <c r="AF48" i="11" s="1"/>
  <c r="AG48" i="11" s="1"/>
  <c r="AE52" i="11"/>
  <c r="AF52" i="11" s="1"/>
  <c r="AG52" i="11" s="1"/>
  <c r="AE56" i="11"/>
  <c r="AF56" i="11" s="1"/>
  <c r="AG56" i="11" s="1"/>
  <c r="AE60" i="11"/>
  <c r="AF60" i="11" s="1"/>
  <c r="AG60" i="11" s="1"/>
  <c r="AE64" i="11"/>
  <c r="AF64" i="11" s="1"/>
  <c r="AG64" i="11" s="1"/>
  <c r="AE68" i="11"/>
  <c r="AF68" i="11" s="1"/>
  <c r="AG68" i="11" s="1"/>
  <c r="AE72" i="11"/>
  <c r="AF72" i="11" s="1"/>
  <c r="AG72" i="11" s="1"/>
  <c r="AE76" i="11"/>
  <c r="AF76" i="11" s="1"/>
  <c r="AG76" i="11" s="1"/>
  <c r="AE80" i="11"/>
  <c r="AF80" i="11" s="1"/>
  <c r="AG80" i="11" s="1"/>
  <c r="AE84" i="11"/>
  <c r="AF84" i="11" s="1"/>
  <c r="AG84" i="11" s="1"/>
  <c r="AE88" i="11"/>
  <c r="AF88" i="11" s="1"/>
  <c r="AG88" i="11" s="1"/>
  <c r="AE5" i="11"/>
  <c r="AF5" i="11" s="1"/>
  <c r="AG5" i="11" s="1"/>
  <c r="AE13" i="11"/>
  <c r="AF13" i="11" s="1"/>
  <c r="AG13" i="11" s="1"/>
  <c r="AE21" i="11"/>
  <c r="AF21" i="11" s="1"/>
  <c r="AG21" i="11" s="1"/>
  <c r="AE29" i="11"/>
  <c r="AF29" i="11" s="1"/>
  <c r="AG29" i="11" s="1"/>
  <c r="AE37" i="11"/>
  <c r="AF37" i="11" s="1"/>
  <c r="AG37" i="11" s="1"/>
  <c r="AE45" i="11"/>
  <c r="AF45" i="11" s="1"/>
  <c r="AG45" i="11" s="1"/>
  <c r="AE53" i="11"/>
  <c r="AF53" i="11" s="1"/>
  <c r="AG53" i="11" s="1"/>
  <c r="AE61" i="11"/>
  <c r="AF61" i="11" s="1"/>
  <c r="AG61" i="11" s="1"/>
  <c r="AE69" i="11"/>
  <c r="AF69" i="11" s="1"/>
  <c r="AG69" i="11" s="1"/>
  <c r="AE77" i="11"/>
  <c r="AF77" i="11" s="1"/>
  <c r="AG77" i="11" s="1"/>
  <c r="AE85" i="11"/>
  <c r="AF85" i="11" s="1"/>
  <c r="AG85" i="11" s="1"/>
  <c r="AE92" i="11"/>
  <c r="AF92" i="11" s="1"/>
  <c r="AG92" i="11" s="1"/>
  <c r="AE96" i="11"/>
  <c r="AF96" i="11" s="1"/>
  <c r="AG96" i="11" s="1"/>
  <c r="AE100" i="11"/>
  <c r="AF100" i="11" s="1"/>
  <c r="AG100" i="11" s="1"/>
  <c r="AE104" i="11"/>
  <c r="AF104" i="11" s="1"/>
  <c r="AG104" i="11" s="1"/>
  <c r="AE108" i="11"/>
  <c r="AF108" i="11" s="1"/>
  <c r="AG108" i="11" s="1"/>
  <c r="AE112" i="11"/>
  <c r="AF112" i="11" s="1"/>
  <c r="AG112" i="11" s="1"/>
  <c r="AE116" i="11"/>
  <c r="AF116" i="11" s="1"/>
  <c r="AG116" i="11" s="1"/>
  <c r="AE120" i="11"/>
  <c r="AF120" i="11" s="1"/>
  <c r="AG120" i="11" s="1"/>
  <c r="AE124" i="11"/>
  <c r="AF124" i="11" s="1"/>
  <c r="AG124" i="11" s="1"/>
  <c r="AE14" i="11"/>
  <c r="AF14" i="11" s="1"/>
  <c r="AG14" i="11" s="1"/>
  <c r="AE25" i="11"/>
  <c r="AF25" i="11" s="1"/>
  <c r="AG25" i="11" s="1"/>
  <c r="AE34" i="11"/>
  <c r="AF34" i="11" s="1"/>
  <c r="AG34" i="11" s="1"/>
  <c r="AE46" i="11"/>
  <c r="AF46" i="11" s="1"/>
  <c r="AG46" i="11" s="1"/>
  <c r="AE57" i="11"/>
  <c r="AF57" i="11" s="1"/>
  <c r="AG57" i="11" s="1"/>
  <c r="AE66" i="11"/>
  <c r="AF66" i="11" s="1"/>
  <c r="AG66" i="11" s="1"/>
  <c r="AE78" i="11"/>
  <c r="AF78" i="11" s="1"/>
  <c r="AG78" i="11" s="1"/>
  <c r="AE89" i="11"/>
  <c r="AF89" i="11" s="1"/>
  <c r="AG89" i="11" s="1"/>
  <c r="AE95" i="11"/>
  <c r="AF95" i="11" s="1"/>
  <c r="AG95" i="11" s="1"/>
  <c r="AE101" i="11"/>
  <c r="AF101" i="11" s="1"/>
  <c r="AG101" i="11" s="1"/>
  <c r="AE106" i="11"/>
  <c r="AF106" i="11" s="1"/>
  <c r="AG106" i="11" s="1"/>
  <c r="AE111" i="11"/>
  <c r="AF111" i="11" s="1"/>
  <c r="AG111" i="11" s="1"/>
  <c r="AE117" i="11"/>
  <c r="AF117" i="11" s="1"/>
  <c r="AG117" i="11" s="1"/>
  <c r="AE122" i="11"/>
  <c r="AF122" i="11" s="1"/>
  <c r="AG122" i="11" s="1"/>
  <c r="AE3" i="11"/>
  <c r="AF3" i="11" s="1"/>
  <c r="AG3" i="11" s="1"/>
  <c r="AE6" i="11"/>
  <c r="AF6" i="11" s="1"/>
  <c r="AG6" i="11" s="1"/>
  <c r="AE17" i="11"/>
  <c r="AF17" i="11" s="1"/>
  <c r="AG17" i="11" s="1"/>
  <c r="AE26" i="11"/>
  <c r="AF26" i="11" s="1"/>
  <c r="AG26" i="11" s="1"/>
  <c r="AE38" i="11"/>
  <c r="AF38" i="11" s="1"/>
  <c r="AG38" i="11" s="1"/>
  <c r="AE49" i="11"/>
  <c r="AF49" i="11" s="1"/>
  <c r="AG49" i="11" s="1"/>
  <c r="AE58" i="11"/>
  <c r="AF58" i="11" s="1"/>
  <c r="AG58" i="11" s="1"/>
  <c r="AE70" i="11"/>
  <c r="AF70" i="11" s="1"/>
  <c r="AG70" i="11" s="1"/>
  <c r="AE81" i="11"/>
  <c r="AF81" i="11" s="1"/>
  <c r="AG81" i="11" s="1"/>
  <c r="AE90" i="11"/>
  <c r="AF90" i="11" s="1"/>
  <c r="AG90" i="11" s="1"/>
  <c r="AE97" i="11"/>
  <c r="AF97" i="11" s="1"/>
  <c r="AG97" i="11" s="1"/>
  <c r="AE102" i="11"/>
  <c r="AF102" i="11" s="1"/>
  <c r="AG102" i="11" s="1"/>
  <c r="AE107" i="11"/>
  <c r="AF107" i="11" s="1"/>
  <c r="AG107" i="11" s="1"/>
  <c r="AE113" i="11"/>
  <c r="AF113" i="11" s="1"/>
  <c r="AG113" i="11" s="1"/>
  <c r="AE118" i="11"/>
  <c r="AF118" i="11" s="1"/>
  <c r="AG118" i="11" s="1"/>
  <c r="AE123" i="11"/>
  <c r="AF123" i="11" s="1"/>
  <c r="AG123" i="11" s="1"/>
  <c r="V121" i="11"/>
  <c r="W121" i="11" s="1"/>
  <c r="X121" i="11" s="1"/>
  <c r="V114" i="11"/>
  <c r="W114" i="11" s="1"/>
  <c r="X114" i="11" s="1"/>
  <c r="V106" i="11"/>
  <c r="W106" i="11" s="1"/>
  <c r="X106" i="11" s="1"/>
  <c r="V99" i="11"/>
  <c r="W99" i="11" s="1"/>
  <c r="X99" i="11" s="1"/>
  <c r="V93" i="11"/>
  <c r="W93" i="11" s="1"/>
  <c r="X93" i="11" s="1"/>
  <c r="V85" i="11"/>
  <c r="W85" i="11" s="1"/>
  <c r="X85" i="11" s="1"/>
  <c r="V78" i="11"/>
  <c r="W78" i="11" s="1"/>
  <c r="X78" i="11" s="1"/>
  <c r="V71" i="11"/>
  <c r="W71" i="11" s="1"/>
  <c r="X71" i="11" s="1"/>
  <c r="V63" i="11"/>
  <c r="W63" i="11" s="1"/>
  <c r="X63" i="11" s="1"/>
  <c r="V57" i="11"/>
  <c r="W57" i="11" s="1"/>
  <c r="X57" i="11" s="1"/>
  <c r="V50" i="11"/>
  <c r="W50" i="11" s="1"/>
  <c r="X50" i="11" s="1"/>
  <c r="V42" i="11"/>
  <c r="W42" i="11" s="1"/>
  <c r="X42" i="11" s="1"/>
  <c r="V35" i="11"/>
  <c r="W35" i="11" s="1"/>
  <c r="X35" i="11" s="1"/>
  <c r="V29" i="11"/>
  <c r="W29" i="11" s="1"/>
  <c r="X29" i="11" s="1"/>
  <c r="V19" i="11"/>
  <c r="W19" i="11" s="1"/>
  <c r="X19" i="11" s="1"/>
  <c r="AB118" i="11"/>
  <c r="AC118" i="11" s="1"/>
  <c r="AD118" i="11" s="1"/>
  <c r="AB107" i="11"/>
  <c r="AC107" i="11" s="1"/>
  <c r="AD107" i="11" s="1"/>
  <c r="AB97" i="11"/>
  <c r="AC97" i="11" s="1"/>
  <c r="AD97" i="11" s="1"/>
  <c r="AB86" i="11"/>
  <c r="AC86" i="11" s="1"/>
  <c r="AD86" i="11" s="1"/>
  <c r="AB75" i="11"/>
  <c r="AC75" i="11" s="1"/>
  <c r="AD75" i="11" s="1"/>
  <c r="AB65" i="11"/>
  <c r="AC65" i="11" s="1"/>
  <c r="AD65" i="11" s="1"/>
  <c r="AB54" i="11"/>
  <c r="AC54" i="11" s="1"/>
  <c r="AD54" i="11" s="1"/>
  <c r="AB43" i="11"/>
  <c r="AC43" i="11" s="1"/>
  <c r="AD43" i="11" s="1"/>
  <c r="AB33" i="11"/>
  <c r="AC33" i="11" s="1"/>
  <c r="AD33" i="11" s="1"/>
  <c r="AB22" i="11"/>
  <c r="AC22" i="11" s="1"/>
  <c r="AD22" i="11" s="1"/>
  <c r="AE125" i="11"/>
  <c r="AF125" i="11" s="1"/>
  <c r="AG125" i="11" s="1"/>
  <c r="AE114" i="11"/>
  <c r="AF114" i="11" s="1"/>
  <c r="AG114" i="11" s="1"/>
  <c r="AE103" i="11"/>
  <c r="AF103" i="11" s="1"/>
  <c r="AG103" i="11" s="1"/>
  <c r="AE93" i="11"/>
  <c r="AF93" i="11" s="1"/>
  <c r="AG93" i="11" s="1"/>
  <c r="AE73" i="11"/>
  <c r="AF73" i="11" s="1"/>
  <c r="AG73" i="11" s="1"/>
  <c r="AE50" i="11"/>
  <c r="AF50" i="11" s="1"/>
  <c r="AG50" i="11" s="1"/>
  <c r="AE30" i="11"/>
  <c r="AF30" i="11" s="1"/>
  <c r="AG30" i="11" s="1"/>
  <c r="AE9" i="11"/>
  <c r="AF9" i="11" s="1"/>
  <c r="AG9" i="11" s="1"/>
  <c r="V10" i="11"/>
  <c r="W10" i="11" s="1"/>
  <c r="X10" i="11" s="1"/>
  <c r="V7" i="11"/>
  <c r="W7" i="11" s="1"/>
  <c r="X7" i="11" s="1"/>
  <c r="V12" i="11"/>
  <c r="W12" i="11" s="1"/>
  <c r="X12" i="11" s="1"/>
  <c r="V16" i="11"/>
  <c r="W16" i="11" s="1"/>
  <c r="X16" i="11" s="1"/>
  <c r="V20" i="11"/>
  <c r="W20" i="11" s="1"/>
  <c r="X20" i="11" s="1"/>
  <c r="V24" i="11"/>
  <c r="W24" i="11" s="1"/>
  <c r="X24" i="11" s="1"/>
  <c r="V28" i="11"/>
  <c r="W28" i="11" s="1"/>
  <c r="X28" i="11" s="1"/>
  <c r="V32" i="11"/>
  <c r="W32" i="11" s="1"/>
  <c r="X32" i="11" s="1"/>
  <c r="V36" i="11"/>
  <c r="W36" i="11" s="1"/>
  <c r="X36" i="11" s="1"/>
  <c r="V40" i="11"/>
  <c r="W40" i="11" s="1"/>
  <c r="X40" i="11" s="1"/>
  <c r="V44" i="11"/>
  <c r="W44" i="11" s="1"/>
  <c r="X44" i="11" s="1"/>
  <c r="V48" i="11"/>
  <c r="W48" i="11" s="1"/>
  <c r="X48" i="11" s="1"/>
  <c r="V52" i="11"/>
  <c r="W52" i="11" s="1"/>
  <c r="X52" i="11" s="1"/>
  <c r="V56" i="11"/>
  <c r="W56" i="11" s="1"/>
  <c r="X56" i="11" s="1"/>
  <c r="V60" i="11"/>
  <c r="W60" i="11" s="1"/>
  <c r="X60" i="11" s="1"/>
  <c r="V64" i="11"/>
  <c r="W64" i="11" s="1"/>
  <c r="X64" i="11" s="1"/>
  <c r="V68" i="11"/>
  <c r="W68" i="11" s="1"/>
  <c r="X68" i="11" s="1"/>
  <c r="V72" i="11"/>
  <c r="W72" i="11" s="1"/>
  <c r="X72" i="11" s="1"/>
  <c r="V76" i="11"/>
  <c r="W76" i="11" s="1"/>
  <c r="X76" i="11" s="1"/>
  <c r="V80" i="11"/>
  <c r="W80" i="11" s="1"/>
  <c r="X80" i="11" s="1"/>
  <c r="V84" i="11"/>
  <c r="W84" i="11" s="1"/>
  <c r="X84" i="11" s="1"/>
  <c r="V88" i="11"/>
  <c r="W88" i="11" s="1"/>
  <c r="X88" i="11" s="1"/>
  <c r="V92" i="11"/>
  <c r="W92" i="11" s="1"/>
  <c r="X92" i="11" s="1"/>
  <c r="V96" i="11"/>
  <c r="W96" i="11" s="1"/>
  <c r="X96" i="11" s="1"/>
  <c r="V100" i="11"/>
  <c r="W100" i="11" s="1"/>
  <c r="X100" i="11" s="1"/>
  <c r="V104" i="11"/>
  <c r="W104" i="11" s="1"/>
  <c r="X104" i="11" s="1"/>
  <c r="V108" i="11"/>
  <c r="W108" i="11" s="1"/>
  <c r="X108" i="11" s="1"/>
  <c r="V112" i="11"/>
  <c r="W112" i="11" s="1"/>
  <c r="X112" i="11" s="1"/>
  <c r="V116" i="11"/>
  <c r="W116" i="11" s="1"/>
  <c r="X116" i="11" s="1"/>
  <c r="V120" i="11"/>
  <c r="W120" i="11" s="1"/>
  <c r="X120" i="11" s="1"/>
  <c r="V124" i="11"/>
  <c r="W124" i="11" s="1"/>
  <c r="X124" i="11" s="1"/>
  <c r="V3" i="11"/>
  <c r="W3" i="11" s="1"/>
  <c r="X3" i="11" s="1"/>
  <c r="V5" i="11"/>
  <c r="W5" i="11" s="1"/>
  <c r="X5" i="11" s="1"/>
  <c r="V11" i="11"/>
  <c r="W11" i="11" s="1"/>
  <c r="X11" i="11" s="1"/>
  <c r="V17" i="11"/>
  <c r="W17" i="11" s="1"/>
  <c r="X17" i="11" s="1"/>
  <c r="V22" i="11"/>
  <c r="W22" i="11" s="1"/>
  <c r="X22" i="11" s="1"/>
  <c r="V27" i="11"/>
  <c r="W27" i="11" s="1"/>
  <c r="X27" i="11" s="1"/>
  <c r="V33" i="11"/>
  <c r="W33" i="11" s="1"/>
  <c r="X33" i="11" s="1"/>
  <c r="V38" i="11"/>
  <c r="W38" i="11" s="1"/>
  <c r="X38" i="11" s="1"/>
  <c r="V43" i="11"/>
  <c r="W43" i="11" s="1"/>
  <c r="X43" i="11" s="1"/>
  <c r="V49" i="11"/>
  <c r="W49" i="11" s="1"/>
  <c r="X49" i="11" s="1"/>
  <c r="V54" i="11"/>
  <c r="W54" i="11" s="1"/>
  <c r="X54" i="11" s="1"/>
  <c r="V59" i="11"/>
  <c r="W59" i="11" s="1"/>
  <c r="X59" i="11" s="1"/>
  <c r="V65" i="11"/>
  <c r="W65" i="11" s="1"/>
  <c r="X65" i="11" s="1"/>
  <c r="V70" i="11"/>
  <c r="W70" i="11" s="1"/>
  <c r="X70" i="11" s="1"/>
  <c r="V75" i="11"/>
  <c r="W75" i="11" s="1"/>
  <c r="X75" i="11" s="1"/>
  <c r="V81" i="11"/>
  <c r="W81" i="11" s="1"/>
  <c r="X81" i="11" s="1"/>
  <c r="V86" i="11"/>
  <c r="W86" i="11" s="1"/>
  <c r="X86" i="11" s="1"/>
  <c r="V91" i="11"/>
  <c r="W91" i="11" s="1"/>
  <c r="X91" i="11" s="1"/>
  <c r="V97" i="11"/>
  <c r="W97" i="11" s="1"/>
  <c r="X97" i="11" s="1"/>
  <c r="V102" i="11"/>
  <c r="W102" i="11" s="1"/>
  <c r="X102" i="11" s="1"/>
  <c r="V107" i="11"/>
  <c r="W107" i="11" s="1"/>
  <c r="X107" i="11" s="1"/>
  <c r="V113" i="11"/>
  <c r="W113" i="11" s="1"/>
  <c r="X113" i="11" s="1"/>
  <c r="V118" i="11"/>
  <c r="W118" i="11" s="1"/>
  <c r="X118" i="11" s="1"/>
  <c r="V123" i="11"/>
  <c r="W123" i="11" s="1"/>
  <c r="X123" i="11" s="1"/>
  <c r="V6" i="11"/>
  <c r="W6" i="11" s="1"/>
  <c r="X6" i="11" s="1"/>
  <c r="V13" i="11"/>
  <c r="W13" i="11" s="1"/>
  <c r="X13" i="11" s="1"/>
  <c r="V18" i="11"/>
  <c r="W18" i="11" s="1"/>
  <c r="X18" i="11" s="1"/>
  <c r="V23" i="11"/>
  <c r="W23" i="11" s="1"/>
  <c r="X23" i="11" s="1"/>
  <c r="AB4" i="11"/>
  <c r="AC4" i="11" s="1"/>
  <c r="AD4" i="11" s="1"/>
  <c r="AB8" i="11"/>
  <c r="AC8" i="11" s="1"/>
  <c r="AD8" i="11" s="1"/>
  <c r="AB12" i="11"/>
  <c r="AC12" i="11" s="1"/>
  <c r="AD12" i="11" s="1"/>
  <c r="AB16" i="11"/>
  <c r="AC16" i="11" s="1"/>
  <c r="AD16" i="11" s="1"/>
  <c r="AB20" i="11"/>
  <c r="AC20" i="11" s="1"/>
  <c r="AD20" i="11" s="1"/>
  <c r="AB24" i="11"/>
  <c r="AC24" i="11" s="1"/>
  <c r="AD24" i="11" s="1"/>
  <c r="AB28" i="11"/>
  <c r="AC28" i="11" s="1"/>
  <c r="AD28" i="11" s="1"/>
  <c r="AB32" i="11"/>
  <c r="AC32" i="11" s="1"/>
  <c r="AD32" i="11" s="1"/>
  <c r="AB36" i="11"/>
  <c r="AC36" i="11" s="1"/>
  <c r="AD36" i="11" s="1"/>
  <c r="AB40" i="11"/>
  <c r="AC40" i="11" s="1"/>
  <c r="AD40" i="11" s="1"/>
  <c r="AB44" i="11"/>
  <c r="AC44" i="11" s="1"/>
  <c r="AD44" i="11" s="1"/>
  <c r="AB48" i="11"/>
  <c r="AC48" i="11" s="1"/>
  <c r="AD48" i="11" s="1"/>
  <c r="AB52" i="11"/>
  <c r="AC52" i="11" s="1"/>
  <c r="AD52" i="11" s="1"/>
  <c r="AB56" i="11"/>
  <c r="AC56" i="11" s="1"/>
  <c r="AD56" i="11" s="1"/>
  <c r="AB60" i="11"/>
  <c r="AC60" i="11" s="1"/>
  <c r="AD60" i="11" s="1"/>
  <c r="AB64" i="11"/>
  <c r="AC64" i="11" s="1"/>
  <c r="AD64" i="11" s="1"/>
  <c r="AB68" i="11"/>
  <c r="AC68" i="11" s="1"/>
  <c r="AD68" i="11" s="1"/>
  <c r="AB72" i="11"/>
  <c r="AC72" i="11" s="1"/>
  <c r="AD72" i="11" s="1"/>
  <c r="AB76" i="11"/>
  <c r="AC76" i="11" s="1"/>
  <c r="AD76" i="11" s="1"/>
  <c r="AB80" i="11"/>
  <c r="AC80" i="11" s="1"/>
  <c r="AD80" i="11" s="1"/>
  <c r="AB84" i="11"/>
  <c r="AC84" i="11" s="1"/>
  <c r="AD84" i="11" s="1"/>
  <c r="AB88" i="11"/>
  <c r="AC88" i="11" s="1"/>
  <c r="AD88" i="11" s="1"/>
  <c r="AB92" i="11"/>
  <c r="AC92" i="11" s="1"/>
  <c r="AD92" i="11" s="1"/>
  <c r="AB96" i="11"/>
  <c r="AC96" i="11" s="1"/>
  <c r="AD96" i="11" s="1"/>
  <c r="AB100" i="11"/>
  <c r="AC100" i="11" s="1"/>
  <c r="AD100" i="11" s="1"/>
  <c r="AB104" i="11"/>
  <c r="AC104" i="11" s="1"/>
  <c r="AD104" i="11" s="1"/>
  <c r="AB108" i="11"/>
  <c r="AC108" i="11" s="1"/>
  <c r="AD108" i="11" s="1"/>
  <c r="AB112" i="11"/>
  <c r="AC112" i="11" s="1"/>
  <c r="AD112" i="11" s="1"/>
  <c r="AB116" i="11"/>
  <c r="AC116" i="11" s="1"/>
  <c r="AD116" i="11" s="1"/>
  <c r="AB120" i="11"/>
  <c r="AC120" i="11" s="1"/>
  <c r="AD120" i="11" s="1"/>
  <c r="AB124" i="11"/>
  <c r="AC124" i="11" s="1"/>
  <c r="AD124" i="11" s="1"/>
  <c r="AB9" i="11"/>
  <c r="AC9" i="11" s="1"/>
  <c r="AD9" i="11" s="1"/>
  <c r="AB14" i="11"/>
  <c r="AC14" i="11" s="1"/>
  <c r="AD14" i="11" s="1"/>
  <c r="AB19" i="11"/>
  <c r="AC19" i="11" s="1"/>
  <c r="AD19" i="11" s="1"/>
  <c r="AB25" i="11"/>
  <c r="AC25" i="11" s="1"/>
  <c r="AD25" i="11" s="1"/>
  <c r="AB30" i="11"/>
  <c r="AC30" i="11" s="1"/>
  <c r="AD30" i="11" s="1"/>
  <c r="AB35" i="11"/>
  <c r="AC35" i="11" s="1"/>
  <c r="AD35" i="11" s="1"/>
  <c r="AB41" i="11"/>
  <c r="AC41" i="11" s="1"/>
  <c r="AD41" i="11" s="1"/>
  <c r="AB46" i="11"/>
  <c r="AC46" i="11" s="1"/>
  <c r="AD46" i="11" s="1"/>
  <c r="AB51" i="11"/>
  <c r="AC51" i="11" s="1"/>
  <c r="AD51" i="11" s="1"/>
  <c r="AB57" i="11"/>
  <c r="AC57" i="11" s="1"/>
  <c r="AD57" i="11" s="1"/>
  <c r="AB62" i="11"/>
  <c r="AC62" i="11" s="1"/>
  <c r="AD62" i="11" s="1"/>
  <c r="AB67" i="11"/>
  <c r="AC67" i="11" s="1"/>
  <c r="AD67" i="11" s="1"/>
  <c r="AB73" i="11"/>
  <c r="AC73" i="11" s="1"/>
  <c r="AD73" i="11" s="1"/>
  <c r="AB78" i="11"/>
  <c r="AC78" i="11" s="1"/>
  <c r="AD78" i="11" s="1"/>
  <c r="AB83" i="11"/>
  <c r="AC83" i="11" s="1"/>
  <c r="AD83" i="11" s="1"/>
  <c r="AB89" i="11"/>
  <c r="AC89" i="11" s="1"/>
  <c r="AD89" i="11" s="1"/>
  <c r="AB94" i="11"/>
  <c r="AC94" i="11" s="1"/>
  <c r="AD94" i="11" s="1"/>
  <c r="AB99" i="11"/>
  <c r="AC99" i="11" s="1"/>
  <c r="AD99" i="11" s="1"/>
  <c r="AB105" i="11"/>
  <c r="AC105" i="11" s="1"/>
  <c r="AD105" i="11" s="1"/>
  <c r="AB110" i="11"/>
  <c r="AC110" i="11" s="1"/>
  <c r="AD110" i="11" s="1"/>
  <c r="AB115" i="11"/>
  <c r="AC115" i="11" s="1"/>
  <c r="AD115" i="11" s="1"/>
  <c r="AB121" i="11"/>
  <c r="AC121" i="11" s="1"/>
  <c r="AD121" i="11" s="1"/>
  <c r="AB126" i="11"/>
  <c r="AC126" i="11" s="1"/>
  <c r="AD126" i="11" s="1"/>
  <c r="AB5" i="11"/>
  <c r="AC5" i="11" s="1"/>
  <c r="AD5" i="11" s="1"/>
  <c r="AB10" i="11"/>
  <c r="AC10" i="11" s="1"/>
  <c r="AD10" i="11" s="1"/>
  <c r="AB15" i="11"/>
  <c r="AC15" i="11" s="1"/>
  <c r="AD15" i="11" s="1"/>
  <c r="AB21" i="11"/>
  <c r="AC21" i="11" s="1"/>
  <c r="AD21" i="11" s="1"/>
  <c r="AB26" i="11"/>
  <c r="AC26" i="11" s="1"/>
  <c r="AD26" i="11" s="1"/>
  <c r="AB31" i="11"/>
  <c r="AC31" i="11" s="1"/>
  <c r="AD31" i="11" s="1"/>
  <c r="AB37" i="11"/>
  <c r="AC37" i="11" s="1"/>
  <c r="AD37" i="11" s="1"/>
  <c r="AB42" i="11"/>
  <c r="AC42" i="11" s="1"/>
  <c r="AD42" i="11" s="1"/>
  <c r="AB47" i="11"/>
  <c r="AC47" i="11" s="1"/>
  <c r="AD47" i="11" s="1"/>
  <c r="AB53" i="11"/>
  <c r="AC53" i="11" s="1"/>
  <c r="AD53" i="11" s="1"/>
  <c r="AB58" i="11"/>
  <c r="AC58" i="11" s="1"/>
  <c r="AD58" i="11" s="1"/>
  <c r="AB63" i="11"/>
  <c r="AC63" i="11" s="1"/>
  <c r="AD63" i="11" s="1"/>
  <c r="AB69" i="11"/>
  <c r="AC69" i="11" s="1"/>
  <c r="AD69" i="11" s="1"/>
  <c r="AB74" i="11"/>
  <c r="AC74" i="11" s="1"/>
  <c r="AD74" i="11" s="1"/>
  <c r="AB79" i="11"/>
  <c r="AC79" i="11" s="1"/>
  <c r="AD79" i="11" s="1"/>
  <c r="AB85" i="11"/>
  <c r="AC85" i="11" s="1"/>
  <c r="AD85" i="11" s="1"/>
  <c r="AB90" i="11"/>
  <c r="AC90" i="11" s="1"/>
  <c r="AD90" i="11" s="1"/>
  <c r="AB95" i="11"/>
  <c r="AC95" i="11" s="1"/>
  <c r="AD95" i="11" s="1"/>
  <c r="AB101" i="11"/>
  <c r="AC101" i="11" s="1"/>
  <c r="AD101" i="11" s="1"/>
  <c r="AB106" i="11"/>
  <c r="AC106" i="11" s="1"/>
  <c r="AD106" i="11" s="1"/>
  <c r="AB111" i="11"/>
  <c r="AC111" i="11" s="1"/>
  <c r="AD111" i="11" s="1"/>
  <c r="AB117" i="11"/>
  <c r="AC117" i="11" s="1"/>
  <c r="AD117" i="11" s="1"/>
  <c r="AB122" i="11"/>
  <c r="AC122" i="11" s="1"/>
  <c r="AD122" i="11" s="1"/>
  <c r="AB3" i="11"/>
  <c r="AC3" i="11" s="1"/>
  <c r="AD3" i="11" s="1"/>
  <c r="V126" i="11"/>
  <c r="W126" i="11" s="1"/>
  <c r="X126" i="11" s="1"/>
  <c r="V119" i="11"/>
  <c r="W119" i="11" s="1"/>
  <c r="X119" i="11" s="1"/>
  <c r="V111" i="11"/>
  <c r="W111" i="11" s="1"/>
  <c r="X111" i="11" s="1"/>
  <c r="V105" i="11"/>
  <c r="W105" i="11" s="1"/>
  <c r="X105" i="11" s="1"/>
  <c r="V98" i="11"/>
  <c r="W98" i="11" s="1"/>
  <c r="X98" i="11" s="1"/>
  <c r="V90" i="11"/>
  <c r="W90" i="11" s="1"/>
  <c r="X90" i="11" s="1"/>
  <c r="V83" i="11"/>
  <c r="W83" i="11" s="1"/>
  <c r="X83" i="11" s="1"/>
  <c r="V77" i="11"/>
  <c r="W77" i="11" s="1"/>
  <c r="X77" i="11" s="1"/>
  <c r="V69" i="11"/>
  <c r="W69" i="11" s="1"/>
  <c r="X69" i="11" s="1"/>
  <c r="V62" i="11"/>
  <c r="W62" i="11" s="1"/>
  <c r="X62" i="11" s="1"/>
  <c r="V55" i="11"/>
  <c r="W55" i="11" s="1"/>
  <c r="X55" i="11" s="1"/>
  <c r="V47" i="11"/>
  <c r="W47" i="11" s="1"/>
  <c r="X47" i="11" s="1"/>
  <c r="V41" i="11"/>
  <c r="W41" i="11" s="1"/>
  <c r="X41" i="11" s="1"/>
  <c r="V34" i="11"/>
  <c r="W34" i="11" s="1"/>
  <c r="X34" i="11" s="1"/>
  <c r="V26" i="11"/>
  <c r="W26" i="11" s="1"/>
  <c r="X26" i="11" s="1"/>
  <c r="V15" i="11"/>
  <c r="W15" i="11" s="1"/>
  <c r="X15" i="11" s="1"/>
  <c r="V4" i="11"/>
  <c r="W4" i="11" s="1"/>
  <c r="X4" i="11" s="1"/>
  <c r="AB125" i="11"/>
  <c r="AC125" i="11" s="1"/>
  <c r="AD125" i="11" s="1"/>
  <c r="AB114" i="11"/>
  <c r="AC114" i="11" s="1"/>
  <c r="AD114" i="11" s="1"/>
  <c r="AB103" i="11"/>
  <c r="AC103" i="11" s="1"/>
  <c r="AD103" i="11" s="1"/>
  <c r="AB93" i="11"/>
  <c r="AC93" i="11" s="1"/>
  <c r="AD93" i="11" s="1"/>
  <c r="AB82" i="11"/>
  <c r="AC82" i="11" s="1"/>
  <c r="AD82" i="11" s="1"/>
  <c r="AB71" i="11"/>
  <c r="AC71" i="11" s="1"/>
  <c r="AD71" i="11" s="1"/>
  <c r="AB61" i="11"/>
  <c r="AC61" i="11" s="1"/>
  <c r="AD61" i="11" s="1"/>
  <c r="AB50" i="11"/>
  <c r="AC50" i="11" s="1"/>
  <c r="AD50" i="11" s="1"/>
  <c r="AB39" i="11"/>
  <c r="AC39" i="11" s="1"/>
  <c r="AD39" i="11" s="1"/>
  <c r="AB29" i="11"/>
  <c r="AC29" i="11" s="1"/>
  <c r="AD29" i="11" s="1"/>
  <c r="AB18" i="11"/>
  <c r="AC18" i="11" s="1"/>
  <c r="AD18" i="11" s="1"/>
  <c r="AB7" i="11"/>
  <c r="AC7" i="11" s="1"/>
  <c r="AD7" i="11" s="1"/>
  <c r="AE121" i="11"/>
  <c r="AF121" i="11" s="1"/>
  <c r="AG121" i="11" s="1"/>
  <c r="AE110" i="11"/>
  <c r="AF110" i="11" s="1"/>
  <c r="AG110" i="11" s="1"/>
  <c r="AE99" i="11"/>
  <c r="AF99" i="11" s="1"/>
  <c r="AG99" i="11" s="1"/>
  <c r="AE86" i="11"/>
  <c r="AF86" i="11" s="1"/>
  <c r="AG86" i="11" s="1"/>
  <c r="AE65" i="11"/>
  <c r="AF65" i="11" s="1"/>
  <c r="AG65" i="11" s="1"/>
  <c r="AE42" i="11"/>
  <c r="AF42" i="11" s="1"/>
  <c r="AG42" i="11" s="1"/>
  <c r="AE22" i="11"/>
  <c r="AF22" i="11" s="1"/>
  <c r="AG22" i="11" s="1"/>
  <c r="AK121" i="11"/>
  <c r="AL121" i="11" s="1"/>
  <c r="AM121" i="11" s="1"/>
  <c r="AK98" i="11"/>
  <c r="AL98" i="11" s="1"/>
  <c r="AM98" i="11" s="1"/>
  <c r="AK78" i="11"/>
  <c r="AL78" i="11" s="1"/>
  <c r="AM78" i="11" s="1"/>
  <c r="AK57" i="11"/>
  <c r="AL57" i="11" s="1"/>
  <c r="AM57" i="11" s="1"/>
  <c r="AK34" i="11"/>
  <c r="AL34" i="11" s="1"/>
  <c r="AM34" i="11" s="1"/>
  <c r="Y3" i="11"/>
  <c r="Z3" i="11" s="1"/>
  <c r="AA3" i="11" s="1"/>
  <c r="Y7" i="11"/>
  <c r="Z7" i="11" s="1"/>
  <c r="AA7" i="11" s="1"/>
  <c r="Y11" i="11"/>
  <c r="Z11" i="11" s="1"/>
  <c r="AA11" i="11" s="1"/>
  <c r="Y15" i="11"/>
  <c r="Z15" i="11" s="1"/>
  <c r="AA15" i="11" s="1"/>
  <c r="Y19" i="11"/>
  <c r="Z19" i="11" s="1"/>
  <c r="AA19" i="11" s="1"/>
  <c r="Y23" i="11"/>
  <c r="Z23" i="11" s="1"/>
  <c r="AA23" i="11" s="1"/>
  <c r="Y27" i="11"/>
  <c r="Z27" i="11" s="1"/>
  <c r="AA27" i="11" s="1"/>
  <c r="Y31" i="11"/>
  <c r="Z31" i="11" s="1"/>
  <c r="AA31" i="11" s="1"/>
  <c r="Y35" i="11"/>
  <c r="Z35" i="11" s="1"/>
  <c r="AA35" i="11" s="1"/>
  <c r="Y39" i="11"/>
  <c r="Z39" i="11" s="1"/>
  <c r="AA39" i="11" s="1"/>
  <c r="Y43" i="11"/>
  <c r="Z43" i="11" s="1"/>
  <c r="AA43" i="11" s="1"/>
  <c r="Y47" i="11"/>
  <c r="Z47" i="11" s="1"/>
  <c r="AA47" i="11" s="1"/>
  <c r="Y51" i="11"/>
  <c r="Z51" i="11" s="1"/>
  <c r="AA51" i="11" s="1"/>
  <c r="Y55" i="11"/>
  <c r="Z55" i="11" s="1"/>
  <c r="AA55" i="11" s="1"/>
  <c r="Y59" i="11"/>
  <c r="Z59" i="11" s="1"/>
  <c r="AA59" i="11" s="1"/>
  <c r="Y63" i="11"/>
  <c r="Z63" i="11" s="1"/>
  <c r="AA63" i="11" s="1"/>
  <c r="Y67" i="11"/>
  <c r="Z67" i="11" s="1"/>
  <c r="AA67" i="11" s="1"/>
  <c r="Y71" i="11"/>
  <c r="Z71" i="11" s="1"/>
  <c r="AA71" i="11" s="1"/>
  <c r="Y75" i="11"/>
  <c r="Z75" i="11" s="1"/>
  <c r="AA75" i="11" s="1"/>
  <c r="Y79" i="11"/>
  <c r="Z79" i="11" s="1"/>
  <c r="AA79" i="11" s="1"/>
  <c r="Y83" i="11"/>
  <c r="Z83" i="11" s="1"/>
  <c r="AA83" i="11" s="1"/>
  <c r="Y87" i="11"/>
  <c r="Z87" i="11" s="1"/>
  <c r="AA87" i="11" s="1"/>
  <c r="Y91" i="11"/>
  <c r="Z91" i="11" s="1"/>
  <c r="AA91" i="11" s="1"/>
  <c r="Y95" i="11"/>
  <c r="Z95" i="11" s="1"/>
  <c r="AA95" i="11" s="1"/>
  <c r="Y99" i="11"/>
  <c r="Z99" i="11" s="1"/>
  <c r="AA99" i="11" s="1"/>
  <c r="Y103" i="11"/>
  <c r="Z103" i="11" s="1"/>
  <c r="AA103" i="11" s="1"/>
  <c r="Y107" i="11"/>
  <c r="Z107" i="11" s="1"/>
  <c r="AA107" i="11" s="1"/>
  <c r="Y111" i="11"/>
  <c r="Z111" i="11" s="1"/>
  <c r="AA111" i="11" s="1"/>
  <c r="Y115" i="11"/>
  <c r="Z115" i="11" s="1"/>
  <c r="AA115" i="11" s="1"/>
  <c r="Y119" i="11"/>
  <c r="Z119" i="11" s="1"/>
  <c r="AA119" i="11" s="1"/>
  <c r="Y123" i="11"/>
  <c r="Z123" i="11" s="1"/>
  <c r="AA123" i="11" s="1"/>
  <c r="Y6" i="11"/>
  <c r="Z6" i="11" s="1"/>
  <c r="AA6" i="11" s="1"/>
  <c r="Y12" i="11"/>
  <c r="Z12" i="11" s="1"/>
  <c r="AA12" i="11" s="1"/>
  <c r="Y17" i="11"/>
  <c r="Z17" i="11" s="1"/>
  <c r="AA17" i="11" s="1"/>
  <c r="Y22" i="11"/>
  <c r="Z22" i="11" s="1"/>
  <c r="AA22" i="11" s="1"/>
  <c r="Y28" i="11"/>
  <c r="Z28" i="11" s="1"/>
  <c r="AA28" i="11" s="1"/>
  <c r="Y33" i="11"/>
  <c r="Z33" i="11" s="1"/>
  <c r="AA33" i="11" s="1"/>
  <c r="Y38" i="11"/>
  <c r="Z38" i="11" s="1"/>
  <c r="AA38" i="11" s="1"/>
  <c r="Y44" i="11"/>
  <c r="Z44" i="11" s="1"/>
  <c r="AA44" i="11" s="1"/>
  <c r="Y49" i="11"/>
  <c r="Z49" i="11" s="1"/>
  <c r="AA49" i="11" s="1"/>
  <c r="Y54" i="11"/>
  <c r="Z54" i="11" s="1"/>
  <c r="AA54" i="11" s="1"/>
  <c r="Y60" i="11"/>
  <c r="Z60" i="11" s="1"/>
  <c r="AA60" i="11" s="1"/>
  <c r="Y65" i="11"/>
  <c r="Z65" i="11" s="1"/>
  <c r="AA65" i="11" s="1"/>
  <c r="Y70" i="11"/>
  <c r="Z70" i="11" s="1"/>
  <c r="AA70" i="11" s="1"/>
  <c r="Y76" i="11"/>
  <c r="Z76" i="11" s="1"/>
  <c r="AA76" i="11" s="1"/>
  <c r="Y81" i="11"/>
  <c r="Z81" i="11" s="1"/>
  <c r="AA81" i="11" s="1"/>
  <c r="Y86" i="11"/>
  <c r="Z86" i="11" s="1"/>
  <c r="AA86" i="11" s="1"/>
  <c r="Y92" i="11"/>
  <c r="Z92" i="11" s="1"/>
  <c r="AA92" i="11" s="1"/>
  <c r="Y97" i="11"/>
  <c r="Z97" i="11" s="1"/>
  <c r="AA97" i="11" s="1"/>
  <c r="Y102" i="11"/>
  <c r="Z102" i="11" s="1"/>
  <c r="AA102" i="11" s="1"/>
  <c r="Y108" i="11"/>
  <c r="Z108" i="11" s="1"/>
  <c r="AA108" i="11" s="1"/>
  <c r="Y113" i="11"/>
  <c r="Z113" i="11" s="1"/>
  <c r="AA113" i="11" s="1"/>
  <c r="Y118" i="11"/>
  <c r="Z118" i="11" s="1"/>
  <c r="AA118" i="11" s="1"/>
  <c r="Y124" i="11"/>
  <c r="Z124" i="11" s="1"/>
  <c r="AA124" i="11" s="1"/>
  <c r="Y8" i="11"/>
  <c r="Z8" i="11" s="1"/>
  <c r="AA8" i="11" s="1"/>
  <c r="Y13" i="11"/>
  <c r="Z13" i="11" s="1"/>
  <c r="AA13" i="11" s="1"/>
  <c r="Y18" i="11"/>
  <c r="Z18" i="11" s="1"/>
  <c r="AA18" i="11" s="1"/>
  <c r="Y24" i="11"/>
  <c r="Z24" i="11" s="1"/>
  <c r="AA24" i="11" s="1"/>
  <c r="Y29" i="11"/>
  <c r="Z29" i="11" s="1"/>
  <c r="AA29" i="11" s="1"/>
  <c r="Y34" i="11"/>
  <c r="Z34" i="11" s="1"/>
  <c r="AA34" i="11" s="1"/>
  <c r="Y40" i="11"/>
  <c r="Z40" i="11" s="1"/>
  <c r="AA40" i="11" s="1"/>
  <c r="Y45" i="11"/>
  <c r="Z45" i="11" s="1"/>
  <c r="AA45" i="11" s="1"/>
  <c r="Y50" i="11"/>
  <c r="Z50" i="11" s="1"/>
  <c r="AA50" i="11" s="1"/>
  <c r="Y56" i="11"/>
  <c r="Z56" i="11" s="1"/>
  <c r="AA56" i="11" s="1"/>
  <c r="Y61" i="11"/>
  <c r="Z61" i="11" s="1"/>
  <c r="AA61" i="11" s="1"/>
  <c r="Y66" i="11"/>
  <c r="Z66" i="11" s="1"/>
  <c r="AA66" i="11" s="1"/>
  <c r="Y72" i="11"/>
  <c r="Z72" i="11" s="1"/>
  <c r="AA72" i="11" s="1"/>
  <c r="Y77" i="11"/>
  <c r="Z77" i="11" s="1"/>
  <c r="AA77" i="11" s="1"/>
  <c r="Y82" i="11"/>
  <c r="Z82" i="11" s="1"/>
  <c r="AA82" i="11" s="1"/>
  <c r="Y88" i="11"/>
  <c r="Z88" i="11" s="1"/>
  <c r="AA88" i="11" s="1"/>
  <c r="Y93" i="11"/>
  <c r="Z93" i="11" s="1"/>
  <c r="AA93" i="11" s="1"/>
  <c r="Y98" i="11"/>
  <c r="Z98" i="11" s="1"/>
  <c r="AA98" i="11" s="1"/>
  <c r="Y104" i="11"/>
  <c r="Z104" i="11" s="1"/>
  <c r="AA104" i="11" s="1"/>
  <c r="Y109" i="11"/>
  <c r="Z109" i="11" s="1"/>
  <c r="AA109" i="11" s="1"/>
  <c r="Y114" i="11"/>
  <c r="Z114" i="11" s="1"/>
  <c r="AA114" i="11" s="1"/>
  <c r="Y120" i="11"/>
  <c r="Z120" i="11" s="1"/>
  <c r="AA120" i="11" s="1"/>
  <c r="Y125" i="11"/>
  <c r="Z125" i="11" s="1"/>
  <c r="AA125" i="11" s="1"/>
  <c r="AH13" i="11"/>
  <c r="AI13" i="11" s="1"/>
  <c r="AJ13" i="11" s="1"/>
  <c r="AH22" i="11"/>
  <c r="AI22" i="11" s="1"/>
  <c r="AJ22" i="11" s="1"/>
  <c r="AH34" i="11"/>
  <c r="AI34" i="11" s="1"/>
  <c r="AJ34" i="11" s="1"/>
  <c r="AH45" i="11"/>
  <c r="AI45" i="11" s="1"/>
  <c r="AJ45" i="11" s="1"/>
  <c r="AH54" i="11"/>
  <c r="AI54" i="11" s="1"/>
  <c r="AJ54" i="11" s="1"/>
  <c r="AH66" i="11"/>
  <c r="AI66" i="11" s="1"/>
  <c r="AJ66" i="11" s="1"/>
  <c r="AH77" i="11"/>
  <c r="AI77" i="11" s="1"/>
  <c r="AJ77" i="11" s="1"/>
  <c r="AH86" i="11"/>
  <c r="AI86" i="11" s="1"/>
  <c r="AJ86" i="11" s="1"/>
  <c r="AH98" i="11"/>
  <c r="AI98" i="11" s="1"/>
  <c r="AJ98" i="11" s="1"/>
  <c r="AH109" i="11"/>
  <c r="AI109" i="11" s="1"/>
  <c r="AJ109" i="11" s="1"/>
  <c r="AH118" i="11"/>
  <c r="AI118" i="11" s="1"/>
  <c r="AJ118" i="11" s="1"/>
  <c r="AK7" i="11"/>
  <c r="AL7" i="11" s="1"/>
  <c r="AM7" i="11" s="1"/>
  <c r="AK11" i="11"/>
  <c r="AL11" i="11" s="1"/>
  <c r="AM11" i="11" s="1"/>
  <c r="AK15" i="11"/>
  <c r="AL15" i="11" s="1"/>
  <c r="AM15" i="11" s="1"/>
  <c r="AK19" i="11"/>
  <c r="AL19" i="11" s="1"/>
  <c r="AM19" i="11" s="1"/>
  <c r="AK23" i="11"/>
  <c r="AL23" i="11" s="1"/>
  <c r="AM23" i="11" s="1"/>
  <c r="AK27" i="11"/>
  <c r="AL27" i="11" s="1"/>
  <c r="AM27" i="11" s="1"/>
  <c r="AK31" i="11"/>
  <c r="AL31" i="11" s="1"/>
  <c r="AM31" i="11" s="1"/>
  <c r="AK35" i="11"/>
  <c r="AL35" i="11" s="1"/>
  <c r="AM35" i="11" s="1"/>
  <c r="AK39" i="11"/>
  <c r="AL39" i="11" s="1"/>
  <c r="AM39" i="11" s="1"/>
  <c r="AK43" i="11"/>
  <c r="AL43" i="11" s="1"/>
  <c r="AM43" i="11" s="1"/>
  <c r="AK47" i="11"/>
  <c r="AL47" i="11" s="1"/>
  <c r="AM47" i="11" s="1"/>
  <c r="AK51" i="11"/>
  <c r="AL51" i="11" s="1"/>
  <c r="AM51" i="11" s="1"/>
  <c r="AK55" i="11"/>
  <c r="AL55" i="11" s="1"/>
  <c r="AM55" i="11" s="1"/>
  <c r="AK59" i="11"/>
  <c r="AL59" i="11" s="1"/>
  <c r="AM59" i="11" s="1"/>
  <c r="AK63" i="11"/>
  <c r="AL63" i="11" s="1"/>
  <c r="AM63" i="11" s="1"/>
  <c r="AK67" i="11"/>
  <c r="AL67" i="11" s="1"/>
  <c r="AM67" i="11" s="1"/>
  <c r="AK71" i="11"/>
  <c r="AL71" i="11" s="1"/>
  <c r="AM71" i="11" s="1"/>
  <c r="AK75" i="11"/>
  <c r="AL75" i="11" s="1"/>
  <c r="AM75" i="11" s="1"/>
  <c r="AK79" i="11"/>
  <c r="AL79" i="11" s="1"/>
  <c r="AM79" i="11" s="1"/>
  <c r="AK83" i="11"/>
  <c r="AL83" i="11" s="1"/>
  <c r="AM83" i="11" s="1"/>
  <c r="AK87" i="11"/>
  <c r="AL87" i="11" s="1"/>
  <c r="AM87" i="11" s="1"/>
  <c r="AK91" i="11"/>
  <c r="AL91" i="11" s="1"/>
  <c r="AM91" i="11" s="1"/>
  <c r="AK95" i="11"/>
  <c r="AL95" i="11" s="1"/>
  <c r="AM95" i="11" s="1"/>
  <c r="AK99" i="11"/>
  <c r="AL99" i="11" s="1"/>
  <c r="AM99" i="11" s="1"/>
  <c r="AK103" i="11"/>
  <c r="AL103" i="11" s="1"/>
  <c r="AM103" i="11" s="1"/>
  <c r="AK107" i="11"/>
  <c r="AL107" i="11" s="1"/>
  <c r="AM107" i="11" s="1"/>
  <c r="AK111" i="11"/>
  <c r="AL111" i="11" s="1"/>
  <c r="AM111" i="11" s="1"/>
  <c r="AK115" i="11"/>
  <c r="AL115" i="11" s="1"/>
  <c r="AM115" i="11" s="1"/>
  <c r="AK119" i="11"/>
  <c r="AL119" i="11" s="1"/>
  <c r="AM119" i="11" s="1"/>
  <c r="AK123" i="11"/>
  <c r="AL123" i="11" s="1"/>
  <c r="AM123" i="11" s="1"/>
  <c r="AK3" i="11"/>
  <c r="AL3" i="11" s="1"/>
  <c r="AM3" i="11" s="1"/>
  <c r="AK4" i="11"/>
  <c r="AL4" i="11" s="1"/>
  <c r="AM4" i="11" s="1"/>
  <c r="AK8" i="11"/>
  <c r="AL8" i="11" s="1"/>
  <c r="AM8" i="11" s="1"/>
  <c r="AK12" i="11"/>
  <c r="AL12" i="11" s="1"/>
  <c r="AM12" i="11" s="1"/>
  <c r="AK16" i="11"/>
  <c r="AL16" i="11" s="1"/>
  <c r="AM16" i="11" s="1"/>
  <c r="AK20" i="11"/>
  <c r="AL20" i="11" s="1"/>
  <c r="AM20" i="11" s="1"/>
  <c r="AK24" i="11"/>
  <c r="AL24" i="11" s="1"/>
  <c r="AM24" i="11" s="1"/>
  <c r="AK28" i="11"/>
  <c r="AL28" i="11" s="1"/>
  <c r="AM28" i="11" s="1"/>
  <c r="AK32" i="11"/>
  <c r="AL32" i="11" s="1"/>
  <c r="AM32" i="11" s="1"/>
  <c r="AK36" i="11"/>
  <c r="AL36" i="11" s="1"/>
  <c r="AM36" i="11" s="1"/>
  <c r="AK40" i="11"/>
  <c r="AL40" i="11" s="1"/>
  <c r="AM40" i="11" s="1"/>
  <c r="AK44" i="11"/>
  <c r="AL44" i="11" s="1"/>
  <c r="AM44" i="11" s="1"/>
  <c r="AK48" i="11"/>
  <c r="AL48" i="11" s="1"/>
  <c r="AM48" i="11" s="1"/>
  <c r="AK52" i="11"/>
  <c r="AL52" i="11" s="1"/>
  <c r="AM52" i="11" s="1"/>
  <c r="AK56" i="11"/>
  <c r="AL56" i="11" s="1"/>
  <c r="AM56" i="11" s="1"/>
  <c r="AK60" i="11"/>
  <c r="AL60" i="11" s="1"/>
  <c r="AM60" i="11" s="1"/>
  <c r="AK64" i="11"/>
  <c r="AL64" i="11" s="1"/>
  <c r="AM64" i="11" s="1"/>
  <c r="AK68" i="11"/>
  <c r="AL68" i="11" s="1"/>
  <c r="AM68" i="11" s="1"/>
  <c r="AK72" i="11"/>
  <c r="AL72" i="11" s="1"/>
  <c r="AM72" i="11" s="1"/>
  <c r="AK76" i="11"/>
  <c r="AL76" i="11" s="1"/>
  <c r="AM76" i="11" s="1"/>
  <c r="AK80" i="11"/>
  <c r="AL80" i="11" s="1"/>
  <c r="AM80" i="11" s="1"/>
  <c r="AK84" i="11"/>
  <c r="AL84" i="11" s="1"/>
  <c r="AM84" i="11" s="1"/>
  <c r="AK88" i="11"/>
  <c r="AL88" i="11" s="1"/>
  <c r="AM88" i="11" s="1"/>
  <c r="AK92" i="11"/>
  <c r="AL92" i="11" s="1"/>
  <c r="AM92" i="11" s="1"/>
  <c r="AK96" i="11"/>
  <c r="AL96" i="11" s="1"/>
  <c r="AM96" i="11" s="1"/>
  <c r="AK100" i="11"/>
  <c r="AL100" i="11" s="1"/>
  <c r="AM100" i="11" s="1"/>
  <c r="AK104" i="11"/>
  <c r="AL104" i="11" s="1"/>
  <c r="AM104" i="11" s="1"/>
  <c r="AK108" i="11"/>
  <c r="AL108" i="11" s="1"/>
  <c r="AM108" i="11" s="1"/>
  <c r="AK112" i="11"/>
  <c r="AL112" i="11" s="1"/>
  <c r="AM112" i="11" s="1"/>
  <c r="AK116" i="11"/>
  <c r="AL116" i="11" s="1"/>
  <c r="AM116" i="11" s="1"/>
  <c r="AK120" i="11"/>
  <c r="AL120" i="11" s="1"/>
  <c r="AM120" i="11" s="1"/>
  <c r="AK124" i="11"/>
  <c r="AL124" i="11" s="1"/>
  <c r="AM124" i="11" s="1"/>
  <c r="AK5" i="11"/>
  <c r="AL5" i="11" s="1"/>
  <c r="AM5" i="11" s="1"/>
  <c r="AK13" i="11"/>
  <c r="AL13" i="11" s="1"/>
  <c r="AM13" i="11" s="1"/>
  <c r="AK21" i="11"/>
  <c r="AL21" i="11" s="1"/>
  <c r="AM21" i="11" s="1"/>
  <c r="AK29" i="11"/>
  <c r="AL29" i="11" s="1"/>
  <c r="AM29" i="11" s="1"/>
  <c r="AK37" i="11"/>
  <c r="AL37" i="11" s="1"/>
  <c r="AM37" i="11" s="1"/>
  <c r="AK45" i="11"/>
  <c r="AL45" i="11" s="1"/>
  <c r="AM45" i="11" s="1"/>
  <c r="AK53" i="11"/>
  <c r="AL53" i="11" s="1"/>
  <c r="AM53" i="11" s="1"/>
  <c r="AK61" i="11"/>
  <c r="AL61" i="11" s="1"/>
  <c r="AM61" i="11" s="1"/>
  <c r="AK69" i="11"/>
  <c r="AL69" i="11" s="1"/>
  <c r="AM69" i="11" s="1"/>
  <c r="AK77" i="11"/>
  <c r="AL77" i="11" s="1"/>
  <c r="AM77" i="11" s="1"/>
  <c r="AK85" i="11"/>
  <c r="AL85" i="11" s="1"/>
  <c r="AM85" i="11" s="1"/>
  <c r="AK93" i="11"/>
  <c r="AL93" i="11" s="1"/>
  <c r="AM93" i="11" s="1"/>
  <c r="AK101" i="11"/>
  <c r="AL101" i="11" s="1"/>
  <c r="AM101" i="11" s="1"/>
  <c r="AK109" i="11"/>
  <c r="AL109" i="11" s="1"/>
  <c r="AM109" i="11" s="1"/>
  <c r="AK117" i="11"/>
  <c r="AL117" i="11" s="1"/>
  <c r="AM117" i="11" s="1"/>
  <c r="AK125" i="11"/>
  <c r="AL125" i="11" s="1"/>
  <c r="AM125" i="11" s="1"/>
  <c r="AK6" i="11"/>
  <c r="AL6" i="11" s="1"/>
  <c r="AM6" i="11" s="1"/>
  <c r="AK17" i="11"/>
  <c r="AL17" i="11" s="1"/>
  <c r="AM17" i="11" s="1"/>
  <c r="AK26" i="11"/>
  <c r="AL26" i="11" s="1"/>
  <c r="AM26" i="11" s="1"/>
  <c r="AK38" i="11"/>
  <c r="AL38" i="11" s="1"/>
  <c r="AM38" i="11" s="1"/>
  <c r="AK49" i="11"/>
  <c r="AL49" i="11" s="1"/>
  <c r="AM49" i="11" s="1"/>
  <c r="AK58" i="11"/>
  <c r="AL58" i="11" s="1"/>
  <c r="AM58" i="11" s="1"/>
  <c r="AK70" i="11"/>
  <c r="AL70" i="11" s="1"/>
  <c r="AM70" i="11" s="1"/>
  <c r="AK81" i="11"/>
  <c r="AL81" i="11" s="1"/>
  <c r="AM81" i="11" s="1"/>
  <c r="AK90" i="11"/>
  <c r="AL90" i="11" s="1"/>
  <c r="AM90" i="11" s="1"/>
  <c r="AK102" i="11"/>
  <c r="AL102" i="11" s="1"/>
  <c r="AM102" i="11" s="1"/>
  <c r="AK113" i="11"/>
  <c r="AL113" i="11" s="1"/>
  <c r="AM113" i="11" s="1"/>
  <c r="AK122" i="11"/>
  <c r="AL122" i="11" s="1"/>
  <c r="AM122" i="11" s="1"/>
  <c r="AK9" i="11"/>
  <c r="AL9" i="11" s="1"/>
  <c r="AM9" i="11" s="1"/>
  <c r="AK18" i="11"/>
  <c r="AL18" i="11" s="1"/>
  <c r="AM18" i="11" s="1"/>
  <c r="AK30" i="11"/>
  <c r="AL30" i="11" s="1"/>
  <c r="AM30" i="11" s="1"/>
  <c r="AK41" i="11"/>
  <c r="AL41" i="11" s="1"/>
  <c r="AM41" i="11" s="1"/>
  <c r="AK50" i="11"/>
  <c r="AL50" i="11" s="1"/>
  <c r="AM50" i="11" s="1"/>
  <c r="AK62" i="11"/>
  <c r="AL62" i="11" s="1"/>
  <c r="AM62" i="11" s="1"/>
  <c r="AK73" i="11"/>
  <c r="AL73" i="11" s="1"/>
  <c r="AM73" i="11" s="1"/>
  <c r="AK82" i="11"/>
  <c r="AL82" i="11" s="1"/>
  <c r="AM82" i="11" s="1"/>
  <c r="AK94" i="11"/>
  <c r="AL94" i="11" s="1"/>
  <c r="AM94" i="11" s="1"/>
  <c r="AK105" i="11"/>
  <c r="AL105" i="11" s="1"/>
  <c r="AM105" i="11" s="1"/>
  <c r="AK114" i="11"/>
  <c r="AL114" i="11" s="1"/>
  <c r="AM114" i="11" s="1"/>
  <c r="AK126" i="11"/>
  <c r="AL126" i="11" s="1"/>
  <c r="AM126" i="11" s="1"/>
  <c r="V125" i="11"/>
  <c r="W125" i="11" s="1"/>
  <c r="X125" i="11" s="1"/>
  <c r="V117" i="11"/>
  <c r="W117" i="11" s="1"/>
  <c r="X117" i="11" s="1"/>
  <c r="V110" i="11"/>
  <c r="W110" i="11" s="1"/>
  <c r="X110" i="11" s="1"/>
  <c r="V103" i="11"/>
  <c r="W103" i="11" s="1"/>
  <c r="X103" i="11" s="1"/>
  <c r="V95" i="11"/>
  <c r="W95" i="11" s="1"/>
  <c r="X95" i="11" s="1"/>
  <c r="V89" i="11"/>
  <c r="W89" i="11" s="1"/>
  <c r="X89" i="11" s="1"/>
  <c r="V82" i="11"/>
  <c r="W82" i="11" s="1"/>
  <c r="X82" i="11" s="1"/>
  <c r="V74" i="11"/>
  <c r="W74" i="11" s="1"/>
  <c r="X74" i="11" s="1"/>
  <c r="V67" i="11"/>
  <c r="W67" i="11" s="1"/>
  <c r="X67" i="11" s="1"/>
  <c r="V61" i="11"/>
  <c r="W61" i="11" s="1"/>
  <c r="X61" i="11" s="1"/>
  <c r="V53" i="11"/>
  <c r="W53" i="11" s="1"/>
  <c r="X53" i="11" s="1"/>
  <c r="V46" i="11"/>
  <c r="W46" i="11" s="1"/>
  <c r="X46" i="11" s="1"/>
  <c r="V39" i="11"/>
  <c r="W39" i="11" s="1"/>
  <c r="X39" i="11" s="1"/>
  <c r="V31" i="11"/>
  <c r="W31" i="11" s="1"/>
  <c r="X31" i="11" s="1"/>
  <c r="V25" i="11"/>
  <c r="W25" i="11" s="1"/>
  <c r="X25" i="11" s="1"/>
  <c r="V14" i="11"/>
  <c r="W14" i="11" s="1"/>
  <c r="X14" i="11" s="1"/>
  <c r="Y126" i="11"/>
  <c r="Z126" i="11" s="1"/>
  <c r="AA126" i="11" s="1"/>
  <c r="Y116" i="11"/>
  <c r="Z116" i="11" s="1"/>
  <c r="AA116" i="11" s="1"/>
  <c r="Y105" i="11"/>
  <c r="Z105" i="11" s="1"/>
  <c r="AA105" i="11" s="1"/>
  <c r="Y94" i="11"/>
  <c r="Z94" i="11" s="1"/>
  <c r="AA94" i="11" s="1"/>
  <c r="Y84" i="11"/>
  <c r="Z84" i="11" s="1"/>
  <c r="AA84" i="11" s="1"/>
  <c r="Y73" i="11"/>
  <c r="Z73" i="11" s="1"/>
  <c r="AA73" i="11" s="1"/>
  <c r="Y62" i="11"/>
  <c r="Z62" i="11" s="1"/>
  <c r="AA62" i="11" s="1"/>
  <c r="Y52" i="11"/>
  <c r="Z52" i="11" s="1"/>
  <c r="AA52" i="11" s="1"/>
  <c r="Y41" i="11"/>
  <c r="Z41" i="11" s="1"/>
  <c r="AA41" i="11" s="1"/>
  <c r="Y30" i="11"/>
  <c r="Z30" i="11" s="1"/>
  <c r="AA30" i="11" s="1"/>
  <c r="Y20" i="11"/>
  <c r="Z20" i="11" s="1"/>
  <c r="AA20" i="11" s="1"/>
  <c r="Y9" i="11"/>
  <c r="Z9" i="11" s="1"/>
  <c r="AA9" i="11" s="1"/>
  <c r="AB123" i="11"/>
  <c r="AC123" i="11" s="1"/>
  <c r="AD123" i="11" s="1"/>
  <c r="AB113" i="11"/>
  <c r="AC113" i="11" s="1"/>
  <c r="AD113" i="11" s="1"/>
  <c r="AB102" i="11"/>
  <c r="AC102" i="11" s="1"/>
  <c r="AD102" i="11" s="1"/>
  <c r="AB91" i="11"/>
  <c r="AC91" i="11" s="1"/>
  <c r="AD91" i="11" s="1"/>
  <c r="AB81" i="11"/>
  <c r="AC81" i="11" s="1"/>
  <c r="AD81" i="11" s="1"/>
  <c r="AB70" i="11"/>
  <c r="AC70" i="11" s="1"/>
  <c r="AD70" i="11" s="1"/>
  <c r="AB59" i="11"/>
  <c r="AC59" i="11" s="1"/>
  <c r="AD59" i="11" s="1"/>
  <c r="AB49" i="11"/>
  <c r="AC49" i="11" s="1"/>
  <c r="AD49" i="11" s="1"/>
  <c r="AB38" i="11"/>
  <c r="AC38" i="11" s="1"/>
  <c r="AD38" i="11" s="1"/>
  <c r="AB27" i="11"/>
  <c r="AC27" i="11" s="1"/>
  <c r="AD27" i="11" s="1"/>
  <c r="AB17" i="11"/>
  <c r="AC17" i="11" s="1"/>
  <c r="AD17" i="11" s="1"/>
  <c r="AB6" i="11"/>
  <c r="AC6" i="11" s="1"/>
  <c r="AD6" i="11" s="1"/>
  <c r="AE119" i="11"/>
  <c r="AF119" i="11" s="1"/>
  <c r="AG119" i="11" s="1"/>
  <c r="AE109" i="11"/>
  <c r="AF109" i="11" s="1"/>
  <c r="AG109" i="11" s="1"/>
  <c r="AE98" i="11"/>
  <c r="AF98" i="11" s="1"/>
  <c r="AG98" i="11" s="1"/>
  <c r="AE82" i="11"/>
  <c r="AF82" i="11" s="1"/>
  <c r="AG82" i="11" s="1"/>
  <c r="AE62" i="11"/>
  <c r="AF62" i="11" s="1"/>
  <c r="AG62" i="11" s="1"/>
  <c r="AE41" i="11"/>
  <c r="AF41" i="11" s="1"/>
  <c r="AG41" i="11" s="1"/>
  <c r="AE18" i="11"/>
  <c r="AF18" i="11" s="1"/>
  <c r="AG18" i="11" s="1"/>
  <c r="AH122" i="11"/>
  <c r="AI122" i="11" s="1"/>
  <c r="AJ122" i="11" s="1"/>
  <c r="AH101" i="11"/>
  <c r="AI101" i="11" s="1"/>
  <c r="AJ101" i="11" s="1"/>
  <c r="AH78" i="11"/>
  <c r="AI78" i="11" s="1"/>
  <c r="AJ78" i="11" s="1"/>
  <c r="AH58" i="11"/>
  <c r="AI58" i="11" s="1"/>
  <c r="AJ58" i="11" s="1"/>
  <c r="AH37" i="11"/>
  <c r="AI37" i="11" s="1"/>
  <c r="AJ37" i="11" s="1"/>
  <c r="AH14" i="11"/>
  <c r="AI14" i="11" s="1"/>
  <c r="AJ14" i="11" s="1"/>
  <c r="AK118" i="11"/>
  <c r="AL118" i="11" s="1"/>
  <c r="AM118" i="11" s="1"/>
  <c r="AK97" i="11"/>
  <c r="AL97" i="11" s="1"/>
  <c r="AM97" i="11" s="1"/>
  <c r="AK74" i="11"/>
  <c r="AL74" i="11" s="1"/>
  <c r="AM74" i="11" s="1"/>
  <c r="AK54" i="11"/>
  <c r="AL54" i="11" s="1"/>
  <c r="AM54" i="11" s="1"/>
  <c r="AK33" i="11"/>
  <c r="AL33" i="11" s="1"/>
  <c r="AM33" i="11" s="1"/>
  <c r="AK10" i="11"/>
  <c r="AL10" i="11" s="1"/>
  <c r="AM10" i="11" s="1"/>
  <c r="AH7" i="11"/>
  <c r="AI7" i="11" s="1"/>
  <c r="AJ7" i="11" s="1"/>
  <c r="AH11" i="11"/>
  <c r="AI11" i="11" s="1"/>
  <c r="AJ11" i="11" s="1"/>
  <c r="AH15" i="11"/>
  <c r="AI15" i="11" s="1"/>
  <c r="AJ15" i="11" s="1"/>
  <c r="AH19" i="11"/>
  <c r="AI19" i="11" s="1"/>
  <c r="AJ19" i="11" s="1"/>
  <c r="AH23" i="11"/>
  <c r="AI23" i="11" s="1"/>
  <c r="AJ23" i="11" s="1"/>
  <c r="AH27" i="11"/>
  <c r="AI27" i="11" s="1"/>
  <c r="AJ27" i="11" s="1"/>
  <c r="AH31" i="11"/>
  <c r="AI31" i="11" s="1"/>
  <c r="AJ31" i="11" s="1"/>
  <c r="AH35" i="11"/>
  <c r="AI35" i="11" s="1"/>
  <c r="AJ35" i="11" s="1"/>
  <c r="AH39" i="11"/>
  <c r="AI39" i="11" s="1"/>
  <c r="AJ39" i="11" s="1"/>
  <c r="AH43" i="11"/>
  <c r="AI43" i="11" s="1"/>
  <c r="AJ43" i="11" s="1"/>
  <c r="AH47" i="11"/>
  <c r="AI47" i="11" s="1"/>
  <c r="AJ47" i="11" s="1"/>
  <c r="AH51" i="11"/>
  <c r="AI51" i="11" s="1"/>
  <c r="AJ51" i="11" s="1"/>
  <c r="AH55" i="11"/>
  <c r="AI55" i="11" s="1"/>
  <c r="AJ55" i="11" s="1"/>
  <c r="AH59" i="11"/>
  <c r="AI59" i="11" s="1"/>
  <c r="AJ59" i="11" s="1"/>
  <c r="AH63" i="11"/>
  <c r="AI63" i="11" s="1"/>
  <c r="AJ63" i="11" s="1"/>
  <c r="AH67" i="11"/>
  <c r="AI67" i="11" s="1"/>
  <c r="AJ67" i="11" s="1"/>
  <c r="AH71" i="11"/>
  <c r="AI71" i="11" s="1"/>
  <c r="AJ71" i="11" s="1"/>
  <c r="AH75" i="11"/>
  <c r="AI75" i="11" s="1"/>
  <c r="AJ75" i="11" s="1"/>
  <c r="AH79" i="11"/>
  <c r="AI79" i="11" s="1"/>
  <c r="AJ79" i="11" s="1"/>
  <c r="AH83" i="11"/>
  <c r="AI83" i="11" s="1"/>
  <c r="AJ83" i="11" s="1"/>
  <c r="AH87" i="11"/>
  <c r="AI87" i="11" s="1"/>
  <c r="AJ87" i="11" s="1"/>
  <c r="AH91" i="11"/>
  <c r="AI91" i="11" s="1"/>
  <c r="AJ91" i="11" s="1"/>
  <c r="AH95" i="11"/>
  <c r="AI95" i="11" s="1"/>
  <c r="AJ95" i="11" s="1"/>
  <c r="AH99" i="11"/>
  <c r="AI99" i="11" s="1"/>
  <c r="AJ99" i="11" s="1"/>
  <c r="AH103" i="11"/>
  <c r="AI103" i="11" s="1"/>
  <c r="AJ103" i="11" s="1"/>
  <c r="AH107" i="11"/>
  <c r="AI107" i="11" s="1"/>
  <c r="AJ107" i="11" s="1"/>
  <c r="AH111" i="11"/>
  <c r="AI111" i="11" s="1"/>
  <c r="AJ111" i="11" s="1"/>
  <c r="AH115" i="11"/>
  <c r="AI115" i="11" s="1"/>
  <c r="AJ115" i="11" s="1"/>
  <c r="AH119" i="11"/>
  <c r="AI119" i="11" s="1"/>
  <c r="AJ119" i="11" s="1"/>
  <c r="AH123" i="11"/>
  <c r="AI123" i="11" s="1"/>
  <c r="AJ123" i="11" s="1"/>
  <c r="AH3" i="11"/>
  <c r="AI3" i="11" s="1"/>
  <c r="AJ3" i="11" s="1"/>
  <c r="AH4" i="11"/>
  <c r="AI4" i="11" s="1"/>
  <c r="AJ4" i="11" s="1"/>
  <c r="AH8" i="11"/>
  <c r="AI8" i="11" s="1"/>
  <c r="AJ8" i="11" s="1"/>
  <c r="AH12" i="11"/>
  <c r="AI12" i="11" s="1"/>
  <c r="AJ12" i="11" s="1"/>
  <c r="AH16" i="11"/>
  <c r="AI16" i="11" s="1"/>
  <c r="AJ16" i="11" s="1"/>
  <c r="AH20" i="11"/>
  <c r="AI20" i="11" s="1"/>
  <c r="AJ20" i="11" s="1"/>
  <c r="AH24" i="11"/>
  <c r="AI24" i="11" s="1"/>
  <c r="AJ24" i="11" s="1"/>
  <c r="AH28" i="11"/>
  <c r="AI28" i="11" s="1"/>
  <c r="AJ28" i="11" s="1"/>
  <c r="AH32" i="11"/>
  <c r="AI32" i="11" s="1"/>
  <c r="AJ32" i="11" s="1"/>
  <c r="AH36" i="11"/>
  <c r="AI36" i="11" s="1"/>
  <c r="AJ36" i="11" s="1"/>
  <c r="AH40" i="11"/>
  <c r="AI40" i="11" s="1"/>
  <c r="AJ40" i="11" s="1"/>
  <c r="AH44" i="11"/>
  <c r="AI44" i="11" s="1"/>
  <c r="AJ44" i="11" s="1"/>
  <c r="AH48" i="11"/>
  <c r="AI48" i="11" s="1"/>
  <c r="AJ48" i="11" s="1"/>
  <c r="AH52" i="11"/>
  <c r="AI52" i="11" s="1"/>
  <c r="AJ52" i="11" s="1"/>
  <c r="AH56" i="11"/>
  <c r="AI56" i="11" s="1"/>
  <c r="AJ56" i="11" s="1"/>
  <c r="AH60" i="11"/>
  <c r="AI60" i="11" s="1"/>
  <c r="AJ60" i="11" s="1"/>
  <c r="AH64" i="11"/>
  <c r="AI64" i="11" s="1"/>
  <c r="AJ64" i="11" s="1"/>
  <c r="AH68" i="11"/>
  <c r="AI68" i="11" s="1"/>
  <c r="AJ68" i="11" s="1"/>
  <c r="AH72" i="11"/>
  <c r="AI72" i="11" s="1"/>
  <c r="AJ72" i="11" s="1"/>
  <c r="AH76" i="11"/>
  <c r="AI76" i="11" s="1"/>
  <c r="AJ76" i="11" s="1"/>
  <c r="AH80" i="11"/>
  <c r="AI80" i="11" s="1"/>
  <c r="AJ80" i="11" s="1"/>
  <c r="AH84" i="11"/>
  <c r="AI84" i="11" s="1"/>
  <c r="AJ84" i="11" s="1"/>
  <c r="AH88" i="11"/>
  <c r="AI88" i="11" s="1"/>
  <c r="AJ88" i="11" s="1"/>
  <c r="AH92" i="11"/>
  <c r="AI92" i="11" s="1"/>
  <c r="AJ92" i="11" s="1"/>
  <c r="AH96" i="11"/>
  <c r="AI96" i="11" s="1"/>
  <c r="AJ96" i="11" s="1"/>
  <c r="AH100" i="11"/>
  <c r="AI100" i="11" s="1"/>
  <c r="AJ100" i="11" s="1"/>
  <c r="AH104" i="11"/>
  <c r="AI104" i="11" s="1"/>
  <c r="AJ104" i="11" s="1"/>
  <c r="AH108" i="11"/>
  <c r="AI108" i="11" s="1"/>
  <c r="AJ108" i="11" s="1"/>
  <c r="AH112" i="11"/>
  <c r="AI112" i="11" s="1"/>
  <c r="AJ112" i="11" s="1"/>
  <c r="AH116" i="11"/>
  <c r="AI116" i="11" s="1"/>
  <c r="AJ116" i="11" s="1"/>
  <c r="AH120" i="11"/>
  <c r="AI120" i="11" s="1"/>
  <c r="AJ120" i="11" s="1"/>
  <c r="AH124" i="11"/>
  <c r="AI124" i="11" s="1"/>
  <c r="AJ124" i="11" s="1"/>
  <c r="AH9" i="11"/>
  <c r="AI9" i="11" s="1"/>
  <c r="AJ9" i="11" s="1"/>
  <c r="AH17" i="11"/>
  <c r="AI17" i="11" s="1"/>
  <c r="AJ17" i="11" s="1"/>
  <c r="AH25" i="11"/>
  <c r="AI25" i="11" s="1"/>
  <c r="AJ25" i="11" s="1"/>
  <c r="AH33" i="11"/>
  <c r="AI33" i="11" s="1"/>
  <c r="AJ33" i="11" s="1"/>
  <c r="AH41" i="11"/>
  <c r="AI41" i="11" s="1"/>
  <c r="AJ41" i="11" s="1"/>
  <c r="AH49" i="11"/>
  <c r="AI49" i="11" s="1"/>
  <c r="AJ49" i="11" s="1"/>
  <c r="AH57" i="11"/>
  <c r="AI57" i="11" s="1"/>
  <c r="AJ57" i="11" s="1"/>
  <c r="AH65" i="11"/>
  <c r="AI65" i="11" s="1"/>
  <c r="AJ65" i="11" s="1"/>
  <c r="AH73" i="11"/>
  <c r="AI73" i="11" s="1"/>
  <c r="AJ73" i="11" s="1"/>
  <c r="AH81" i="11"/>
  <c r="AI81" i="11" s="1"/>
  <c r="AJ81" i="11" s="1"/>
  <c r="AH89" i="11"/>
  <c r="AI89" i="11" s="1"/>
  <c r="AJ89" i="11" s="1"/>
  <c r="AH97" i="11"/>
  <c r="AI97" i="11" s="1"/>
  <c r="AJ97" i="11" s="1"/>
  <c r="AH105" i="11"/>
  <c r="AI105" i="11" s="1"/>
  <c r="AJ105" i="11" s="1"/>
  <c r="AH113" i="11"/>
  <c r="AI113" i="11" s="1"/>
  <c r="AJ113" i="11" s="1"/>
  <c r="AH121" i="11"/>
  <c r="AI121" i="11" s="1"/>
  <c r="AJ121" i="11" s="1"/>
  <c r="AH126" i="11"/>
  <c r="AI126" i="11" s="1"/>
  <c r="AJ126" i="11" s="1"/>
  <c r="AH117" i="11"/>
  <c r="AI117" i="11" s="1"/>
  <c r="AJ117" i="11" s="1"/>
  <c r="AH106" i="11"/>
  <c r="AI106" i="11" s="1"/>
  <c r="AJ106" i="11" s="1"/>
  <c r="AH94" i="11"/>
  <c r="AI94" i="11" s="1"/>
  <c r="AJ94" i="11" s="1"/>
  <c r="AH85" i="11"/>
  <c r="AI85" i="11" s="1"/>
  <c r="AJ85" i="11" s="1"/>
  <c r="AH74" i="11"/>
  <c r="AI74" i="11" s="1"/>
  <c r="AJ74" i="11" s="1"/>
  <c r="AH62" i="11"/>
  <c r="AI62" i="11" s="1"/>
  <c r="AJ62" i="11" s="1"/>
  <c r="AH53" i="11"/>
  <c r="AI53" i="11" s="1"/>
  <c r="AJ53" i="11" s="1"/>
  <c r="AH42" i="11"/>
  <c r="AI42" i="11" s="1"/>
  <c r="AJ42" i="11" s="1"/>
  <c r="AH30" i="11"/>
  <c r="AI30" i="11" s="1"/>
  <c r="AJ30" i="11" s="1"/>
  <c r="AH21" i="11"/>
  <c r="AI21" i="11" s="1"/>
  <c r="AJ21" i="11" s="1"/>
  <c r="AH10" i="11"/>
  <c r="AI10" i="11" s="1"/>
  <c r="AJ10" i="11" s="1"/>
  <c r="F107" i="3" l="1"/>
  <c r="F108" i="3"/>
  <c r="H109" i="3"/>
  <c r="J91" i="7"/>
  <c r="J90" i="7"/>
  <c r="J60" i="7"/>
  <c r="J49" i="7"/>
  <c r="K49" i="7"/>
  <c r="M60" i="7"/>
  <c r="D68" i="1"/>
  <c r="D68" i="6" s="1"/>
  <c r="H68" i="7"/>
  <c r="L68" i="7" s="1"/>
  <c r="F102" i="9"/>
  <c r="F107" i="9"/>
  <c r="F112" i="9"/>
  <c r="F117" i="9"/>
  <c r="F122" i="9"/>
  <c r="F127" i="9"/>
  <c r="F132" i="9"/>
  <c r="F137" i="9"/>
  <c r="F142" i="9"/>
  <c r="F147" i="9"/>
  <c r="F152" i="9"/>
  <c r="F157" i="9"/>
  <c r="F162" i="9"/>
  <c r="F167" i="9"/>
  <c r="F172" i="9"/>
  <c r="E102" i="9"/>
  <c r="E107" i="9"/>
  <c r="E112" i="9"/>
  <c r="E117" i="9"/>
  <c r="E122" i="9"/>
  <c r="E127" i="9"/>
  <c r="E132" i="9"/>
  <c r="E137" i="9"/>
  <c r="E142" i="9"/>
  <c r="E147" i="9"/>
  <c r="E152" i="9"/>
  <c r="E157" i="9"/>
  <c r="E162" i="9"/>
  <c r="E167" i="9"/>
  <c r="E172" i="9"/>
  <c r="D102" i="9"/>
  <c r="D107" i="9"/>
  <c r="G107" i="9" s="1"/>
  <c r="D112" i="9"/>
  <c r="D117" i="9"/>
  <c r="D122" i="9"/>
  <c r="D127" i="9"/>
  <c r="G127" i="9" s="1"/>
  <c r="D132" i="9"/>
  <c r="D137" i="9"/>
  <c r="D142" i="9"/>
  <c r="D147" i="9"/>
  <c r="G147" i="9" s="1"/>
  <c r="D152" i="9"/>
  <c r="D157" i="9"/>
  <c r="D162" i="9"/>
  <c r="D167" i="9"/>
  <c r="D172" i="9"/>
  <c r="G151" i="8"/>
  <c r="F151" i="9" s="1"/>
  <c r="G130" i="8"/>
  <c r="F130" i="9" s="1"/>
  <c r="G121" i="8"/>
  <c r="F121" i="9" s="1"/>
  <c r="F102" i="8"/>
  <c r="F103" i="8"/>
  <c r="G103" i="8" s="1"/>
  <c r="F103" i="9" s="1"/>
  <c r="F104" i="8"/>
  <c r="F105" i="8"/>
  <c r="F106" i="8"/>
  <c r="F107" i="8"/>
  <c r="F108" i="8"/>
  <c r="F109" i="8"/>
  <c r="F110" i="8"/>
  <c r="F111" i="8"/>
  <c r="G111" i="8" s="1"/>
  <c r="F111" i="9" s="1"/>
  <c r="F112" i="8"/>
  <c r="F113" i="8"/>
  <c r="F114" i="8"/>
  <c r="F115" i="8"/>
  <c r="G115" i="8" s="1"/>
  <c r="F115" i="9" s="1"/>
  <c r="F116" i="8"/>
  <c r="F117" i="8"/>
  <c r="F118" i="8"/>
  <c r="G118" i="8" s="1"/>
  <c r="F118" i="9" s="1"/>
  <c r="F119" i="8"/>
  <c r="G119" i="8" s="1"/>
  <c r="F119" i="9" s="1"/>
  <c r="F120" i="8"/>
  <c r="F121" i="8"/>
  <c r="F122" i="8"/>
  <c r="F123" i="8"/>
  <c r="G123" i="8" s="1"/>
  <c r="F123" i="9" s="1"/>
  <c r="F124" i="8"/>
  <c r="F125" i="8"/>
  <c r="F126" i="8"/>
  <c r="F127" i="8"/>
  <c r="F128" i="8"/>
  <c r="F129" i="8"/>
  <c r="F130" i="8"/>
  <c r="F131" i="8"/>
  <c r="F132" i="8"/>
  <c r="F133" i="8"/>
  <c r="F134" i="8"/>
  <c r="F135" i="8"/>
  <c r="G135" i="8" s="1"/>
  <c r="F135" i="9" s="1"/>
  <c r="F136" i="8"/>
  <c r="G136" i="8" s="1"/>
  <c r="F136" i="9" s="1"/>
  <c r="F137" i="8"/>
  <c r="G138" i="8" s="1"/>
  <c r="F138" i="9" s="1"/>
  <c r="F138" i="8"/>
  <c r="F139" i="8"/>
  <c r="G139" i="8" s="1"/>
  <c r="F139" i="9" s="1"/>
  <c r="F140" i="8"/>
  <c r="G140" i="8" s="1"/>
  <c r="F140" i="9" s="1"/>
  <c r="F141" i="8"/>
  <c r="F142" i="8"/>
  <c r="F143" i="8"/>
  <c r="G143" i="8" s="1"/>
  <c r="F143" i="9" s="1"/>
  <c r="F144" i="8"/>
  <c r="G144" i="8" s="1"/>
  <c r="F144" i="9" s="1"/>
  <c r="F145" i="8"/>
  <c r="F146" i="8"/>
  <c r="G146" i="8" s="1"/>
  <c r="F146" i="9" s="1"/>
  <c r="F147" i="8"/>
  <c r="F148" i="8"/>
  <c r="G148" i="8" s="1"/>
  <c r="F148" i="9" s="1"/>
  <c r="F149" i="8"/>
  <c r="F150" i="8"/>
  <c r="F151" i="8"/>
  <c r="F152" i="8"/>
  <c r="G153" i="8" s="1"/>
  <c r="F153" i="9" s="1"/>
  <c r="F153" i="8"/>
  <c r="F154" i="8"/>
  <c r="F155" i="8"/>
  <c r="G155" i="8" s="1"/>
  <c r="F155" i="9" s="1"/>
  <c r="F156" i="8"/>
  <c r="G156" i="8" s="1"/>
  <c r="F156" i="9" s="1"/>
  <c r="F157" i="8"/>
  <c r="G158" i="8" s="1"/>
  <c r="F158" i="9" s="1"/>
  <c r="F158" i="8"/>
  <c r="F159" i="8"/>
  <c r="G159" i="8" s="1"/>
  <c r="F159" i="9" s="1"/>
  <c r="F160" i="8"/>
  <c r="G160" i="8" s="1"/>
  <c r="F160" i="9" s="1"/>
  <c r="F161" i="8"/>
  <c r="F162" i="8"/>
  <c r="F163" i="8"/>
  <c r="G163" i="8" s="1"/>
  <c r="F163" i="9" s="1"/>
  <c r="F164" i="8"/>
  <c r="G165" i="8" s="1"/>
  <c r="F165" i="9" s="1"/>
  <c r="F165" i="8"/>
  <c r="F166" i="8"/>
  <c r="G166" i="8" s="1"/>
  <c r="F166" i="9" s="1"/>
  <c r="F167" i="8"/>
  <c r="F168" i="8"/>
  <c r="F169" i="8"/>
  <c r="F170" i="8"/>
  <c r="G170" i="8" s="1"/>
  <c r="F170" i="9" s="1"/>
  <c r="F171" i="8"/>
  <c r="G171" i="8" s="1"/>
  <c r="F171" i="9" s="1"/>
  <c r="F172" i="8"/>
  <c r="G173" i="8" s="1"/>
  <c r="F173" i="9" s="1"/>
  <c r="F173" i="8"/>
  <c r="F174" i="8"/>
  <c r="G174" i="8" s="1"/>
  <c r="F174" i="9" s="1"/>
  <c r="F175" i="8"/>
  <c r="G175" i="8" s="1"/>
  <c r="F175" i="9" s="1"/>
  <c r="F176" i="8"/>
  <c r="N115" i="7"/>
  <c r="N156" i="7"/>
  <c r="O156" i="7" s="1"/>
  <c r="E156" i="9" s="1"/>
  <c r="N164" i="7"/>
  <c r="N175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N129" i="7" s="1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N145" i="7" s="1"/>
  <c r="M146" i="7"/>
  <c r="M147" i="7"/>
  <c r="M148" i="7"/>
  <c r="N148" i="7" s="1"/>
  <c r="O149" i="7" s="1"/>
  <c r="E149" i="9" s="1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N172" i="7" s="1"/>
  <c r="M173" i="7"/>
  <c r="M174" i="7"/>
  <c r="M175" i="7"/>
  <c r="M176" i="7"/>
  <c r="L102" i="7"/>
  <c r="N102" i="7" s="1"/>
  <c r="L103" i="7"/>
  <c r="N103" i="7" s="1"/>
  <c r="L104" i="7"/>
  <c r="L105" i="7"/>
  <c r="N105" i="7" s="1"/>
  <c r="L106" i="7"/>
  <c r="N106" i="7" s="1"/>
  <c r="O106" i="7" s="1"/>
  <c r="E106" i="9" s="1"/>
  <c r="L107" i="7"/>
  <c r="N107" i="7" s="1"/>
  <c r="L108" i="7"/>
  <c r="L109" i="7"/>
  <c r="N109" i="7" s="1"/>
  <c r="L110" i="7"/>
  <c r="N110" i="7" s="1"/>
  <c r="L111" i="7"/>
  <c r="N111" i="7" s="1"/>
  <c r="L112" i="7"/>
  <c r="L113" i="7"/>
  <c r="N113" i="7" s="1"/>
  <c r="L114" i="7"/>
  <c r="N114" i="7" s="1"/>
  <c r="L115" i="7"/>
  <c r="L116" i="7"/>
  <c r="L117" i="7"/>
  <c r="L118" i="7"/>
  <c r="N118" i="7" s="1"/>
  <c r="L119" i="7"/>
  <c r="N119" i="7" s="1"/>
  <c r="L120" i="7"/>
  <c r="L121" i="7"/>
  <c r="N121" i="7" s="1"/>
  <c r="L122" i="7"/>
  <c r="N122" i="7" s="1"/>
  <c r="L123" i="7"/>
  <c r="N123" i="7" s="1"/>
  <c r="L124" i="7"/>
  <c r="N124" i="7" s="1"/>
  <c r="O124" i="7" s="1"/>
  <c r="E124" i="9" s="1"/>
  <c r="L125" i="7"/>
  <c r="N125" i="7" s="1"/>
  <c r="L126" i="7"/>
  <c r="N126" i="7" s="1"/>
  <c r="O126" i="7" s="1"/>
  <c r="E126" i="9" s="1"/>
  <c r="L127" i="7"/>
  <c r="N127" i="7" s="1"/>
  <c r="L128" i="7"/>
  <c r="L129" i="7"/>
  <c r="L130" i="7"/>
  <c r="N130" i="7" s="1"/>
  <c r="L131" i="7"/>
  <c r="N131" i="7" s="1"/>
  <c r="O131" i="7" s="1"/>
  <c r="E131" i="9" s="1"/>
  <c r="L132" i="7"/>
  <c r="L133" i="7"/>
  <c r="L134" i="7"/>
  <c r="N134" i="7" s="1"/>
  <c r="L135" i="7"/>
  <c r="N135" i="7" s="1"/>
  <c r="L136" i="7"/>
  <c r="L137" i="7"/>
  <c r="N137" i="7" s="1"/>
  <c r="O138" i="7" s="1"/>
  <c r="E138" i="9" s="1"/>
  <c r="L138" i="7"/>
  <c r="N138" i="7" s="1"/>
  <c r="L139" i="7"/>
  <c r="N139" i="7" s="1"/>
  <c r="L140" i="7"/>
  <c r="L141" i="7"/>
  <c r="N141" i="7" s="1"/>
  <c r="L142" i="7"/>
  <c r="N142" i="7" s="1"/>
  <c r="L143" i="7"/>
  <c r="N143" i="7" s="1"/>
  <c r="L144" i="7"/>
  <c r="L145" i="7"/>
  <c r="L146" i="7"/>
  <c r="N146" i="7" s="1"/>
  <c r="L147" i="7"/>
  <c r="N147" i="7" s="1"/>
  <c r="O148" i="7" s="1"/>
  <c r="E148" i="9" s="1"/>
  <c r="L148" i="7"/>
  <c r="L149" i="7"/>
  <c r="L150" i="7"/>
  <c r="N150" i="7" s="1"/>
  <c r="O151" i="7" s="1"/>
  <c r="E151" i="9" s="1"/>
  <c r="L151" i="7"/>
  <c r="N151" i="7" s="1"/>
  <c r="L152" i="7"/>
  <c r="L153" i="7"/>
  <c r="N153" i="7" s="1"/>
  <c r="L154" i="7"/>
  <c r="N154" i="7" s="1"/>
  <c r="L155" i="7"/>
  <c r="N155" i="7" s="1"/>
  <c r="L156" i="7"/>
  <c r="L157" i="7"/>
  <c r="N157" i="7" s="1"/>
  <c r="O158" i="7" s="1"/>
  <c r="E158" i="9" s="1"/>
  <c r="L158" i="7"/>
  <c r="N158" i="7" s="1"/>
  <c r="L159" i="7"/>
  <c r="N159" i="7" s="1"/>
  <c r="L160" i="7"/>
  <c r="L161" i="7"/>
  <c r="N161" i="7" s="1"/>
  <c r="L162" i="7"/>
  <c r="N162" i="7" s="1"/>
  <c r="L163" i="7"/>
  <c r="N163" i="7" s="1"/>
  <c r="L164" i="7"/>
  <c r="L165" i="7"/>
  <c r="L166" i="7"/>
  <c r="N166" i="7" s="1"/>
  <c r="L167" i="7"/>
  <c r="N167" i="7" s="1"/>
  <c r="L168" i="7"/>
  <c r="N168" i="7" s="1"/>
  <c r="O168" i="7" s="1"/>
  <c r="E168" i="9" s="1"/>
  <c r="L169" i="7"/>
  <c r="L170" i="7"/>
  <c r="N170" i="7" s="1"/>
  <c r="L171" i="7"/>
  <c r="N171" i="7" s="1"/>
  <c r="L172" i="7"/>
  <c r="L173" i="7"/>
  <c r="L174" i="7"/>
  <c r="N174" i="7" s="1"/>
  <c r="L175" i="7"/>
  <c r="L176" i="7"/>
  <c r="G148" i="6"/>
  <c r="D148" i="9" s="1"/>
  <c r="F102" i="6"/>
  <c r="F103" i="6"/>
  <c r="F104" i="6"/>
  <c r="G104" i="6" s="1"/>
  <c r="D104" i="9" s="1"/>
  <c r="F105" i="6"/>
  <c r="G106" i="6" s="1"/>
  <c r="D106" i="9" s="1"/>
  <c r="F106" i="6"/>
  <c r="F107" i="6"/>
  <c r="F108" i="6"/>
  <c r="G108" i="6" s="1"/>
  <c r="D108" i="9" s="1"/>
  <c r="F109" i="6"/>
  <c r="G110" i="6" s="1"/>
  <c r="D110" i="9" s="1"/>
  <c r="F110" i="6"/>
  <c r="F111" i="6"/>
  <c r="G111" i="6" s="1"/>
  <c r="D111" i="9" s="1"/>
  <c r="F112" i="6"/>
  <c r="F113" i="6"/>
  <c r="F114" i="6"/>
  <c r="F115" i="6"/>
  <c r="G115" i="6" s="1"/>
  <c r="D115" i="9" s="1"/>
  <c r="F116" i="6"/>
  <c r="G116" i="6" s="1"/>
  <c r="D116" i="9" s="1"/>
  <c r="F117" i="6"/>
  <c r="F118" i="6"/>
  <c r="G118" i="6" s="1"/>
  <c r="D118" i="9" s="1"/>
  <c r="F119" i="6"/>
  <c r="G119" i="6" s="1"/>
  <c r="D119" i="9" s="1"/>
  <c r="F120" i="6"/>
  <c r="F121" i="6"/>
  <c r="F122" i="6"/>
  <c r="F123" i="6"/>
  <c r="G123" i="6" s="1"/>
  <c r="D123" i="9" s="1"/>
  <c r="F124" i="6"/>
  <c r="G124" i="6" s="1"/>
  <c r="D124" i="9" s="1"/>
  <c r="F125" i="6"/>
  <c r="G126" i="6" s="1"/>
  <c r="D126" i="9" s="1"/>
  <c r="F126" i="6"/>
  <c r="F127" i="6"/>
  <c r="F128" i="6"/>
  <c r="G128" i="6" s="1"/>
  <c r="D128" i="9" s="1"/>
  <c r="F129" i="6"/>
  <c r="G130" i="6" s="1"/>
  <c r="D130" i="9" s="1"/>
  <c r="F130" i="6"/>
  <c r="F131" i="6"/>
  <c r="G131" i="6" s="1"/>
  <c r="D131" i="9" s="1"/>
  <c r="F132" i="6"/>
  <c r="F133" i="6"/>
  <c r="F134" i="6"/>
  <c r="F135" i="6"/>
  <c r="G135" i="6" s="1"/>
  <c r="D135" i="9" s="1"/>
  <c r="F136" i="6"/>
  <c r="G136" i="6" s="1"/>
  <c r="D136" i="9" s="1"/>
  <c r="F137" i="6"/>
  <c r="F138" i="6"/>
  <c r="G138" i="6" s="1"/>
  <c r="D138" i="9" s="1"/>
  <c r="F139" i="6"/>
  <c r="G139" i="6" s="1"/>
  <c r="D139" i="9" s="1"/>
  <c r="F140" i="6"/>
  <c r="G140" i="6" s="1"/>
  <c r="D140" i="9" s="1"/>
  <c r="F141" i="6"/>
  <c r="F142" i="6"/>
  <c r="F143" i="6"/>
  <c r="G143" i="6" s="1"/>
  <c r="D143" i="9" s="1"/>
  <c r="F144" i="6"/>
  <c r="F145" i="6"/>
  <c r="F146" i="6"/>
  <c r="G146" i="6" s="1"/>
  <c r="D146" i="9" s="1"/>
  <c r="F147" i="6"/>
  <c r="F148" i="6"/>
  <c r="F149" i="6"/>
  <c r="G150" i="6" s="1"/>
  <c r="D150" i="9" s="1"/>
  <c r="F150" i="6"/>
  <c r="F151" i="6"/>
  <c r="G151" i="6" s="1"/>
  <c r="D151" i="9" s="1"/>
  <c r="F152" i="6"/>
  <c r="F153" i="6"/>
  <c r="F154" i="6"/>
  <c r="F155" i="6"/>
  <c r="G155" i="6" s="1"/>
  <c r="D155" i="9" s="1"/>
  <c r="F156" i="6"/>
  <c r="G156" i="6" s="1"/>
  <c r="D156" i="9" s="1"/>
  <c r="F157" i="6"/>
  <c r="F158" i="6"/>
  <c r="G158" i="6" s="1"/>
  <c r="D158" i="9" s="1"/>
  <c r="F159" i="6"/>
  <c r="G159" i="6" s="1"/>
  <c r="D159" i="9" s="1"/>
  <c r="F160" i="6"/>
  <c r="F161" i="6"/>
  <c r="F162" i="6"/>
  <c r="F163" i="6"/>
  <c r="G163" i="6" s="1"/>
  <c r="D163" i="9" s="1"/>
  <c r="F164" i="6"/>
  <c r="G165" i="6" s="1"/>
  <c r="D165" i="9" s="1"/>
  <c r="F165" i="6"/>
  <c r="F166" i="6"/>
  <c r="G166" i="6" s="1"/>
  <c r="D166" i="9" s="1"/>
  <c r="F167" i="6"/>
  <c r="F168" i="6"/>
  <c r="F169" i="6"/>
  <c r="F170" i="6"/>
  <c r="G170" i="6" s="1"/>
  <c r="D170" i="9" s="1"/>
  <c r="F171" i="6"/>
  <c r="G171" i="6" s="1"/>
  <c r="D171" i="9" s="1"/>
  <c r="F172" i="6"/>
  <c r="F173" i="6"/>
  <c r="G173" i="6" s="1"/>
  <c r="D173" i="9" s="1"/>
  <c r="F174" i="6"/>
  <c r="G174" i="6" s="1"/>
  <c r="D174" i="9" s="1"/>
  <c r="F175" i="6"/>
  <c r="G175" i="6" s="1"/>
  <c r="D175" i="9" s="1"/>
  <c r="F176" i="6"/>
  <c r="F147" i="5"/>
  <c r="F162" i="5"/>
  <c r="F170" i="5"/>
  <c r="D102" i="5"/>
  <c r="H102" i="4"/>
  <c r="F102" i="5" s="1"/>
  <c r="H107" i="4"/>
  <c r="F107" i="5" s="1"/>
  <c r="H108" i="4"/>
  <c r="F108" i="5" s="1"/>
  <c r="H112" i="4"/>
  <c r="F112" i="5" s="1"/>
  <c r="H117" i="4"/>
  <c r="F117" i="5" s="1"/>
  <c r="H122" i="4"/>
  <c r="F122" i="5" s="1"/>
  <c r="H127" i="4"/>
  <c r="F127" i="5" s="1"/>
  <c r="H128" i="4"/>
  <c r="F128" i="5" s="1"/>
  <c r="H132" i="4"/>
  <c r="F132" i="5" s="1"/>
  <c r="H137" i="4"/>
  <c r="F137" i="5" s="1"/>
  <c r="H138" i="4"/>
  <c r="F138" i="5" s="1"/>
  <c r="H142" i="4"/>
  <c r="F142" i="5" s="1"/>
  <c r="H147" i="4"/>
  <c r="H152" i="4"/>
  <c r="F152" i="5" s="1"/>
  <c r="H157" i="4"/>
  <c r="F157" i="5" s="1"/>
  <c r="H158" i="4"/>
  <c r="F158" i="5" s="1"/>
  <c r="H162" i="4"/>
  <c r="H163" i="4"/>
  <c r="F163" i="5" s="1"/>
  <c r="H164" i="4"/>
  <c r="F164" i="5" s="1"/>
  <c r="H167" i="4"/>
  <c r="F167" i="5" s="1"/>
  <c r="H172" i="4"/>
  <c r="F172" i="5" s="1"/>
  <c r="H173" i="4"/>
  <c r="F173" i="5" s="1"/>
  <c r="F174" i="4"/>
  <c r="F175" i="4"/>
  <c r="F176" i="4"/>
  <c r="F173" i="4"/>
  <c r="F169" i="4"/>
  <c r="F170" i="4"/>
  <c r="F171" i="4"/>
  <c r="F168" i="4"/>
  <c r="F164" i="4"/>
  <c r="F165" i="4"/>
  <c r="F166" i="4"/>
  <c r="F163" i="4"/>
  <c r="F159" i="4"/>
  <c r="F160" i="4"/>
  <c r="F161" i="4"/>
  <c r="F158" i="4"/>
  <c r="F154" i="4"/>
  <c r="F155" i="4"/>
  <c r="F156" i="4"/>
  <c r="F153" i="4"/>
  <c r="F149" i="4"/>
  <c r="F150" i="4"/>
  <c r="F151" i="4"/>
  <c r="F148" i="4"/>
  <c r="F144" i="4"/>
  <c r="F145" i="4"/>
  <c r="F146" i="4"/>
  <c r="F143" i="4"/>
  <c r="F139" i="4"/>
  <c r="F140" i="4"/>
  <c r="F141" i="4"/>
  <c r="F138" i="4"/>
  <c r="F134" i="4"/>
  <c r="F135" i="4"/>
  <c r="F136" i="4"/>
  <c r="F133" i="4"/>
  <c r="F129" i="4"/>
  <c r="F130" i="4"/>
  <c r="F131" i="4"/>
  <c r="F128" i="4"/>
  <c r="F124" i="4"/>
  <c r="F125" i="4"/>
  <c r="F126" i="4"/>
  <c r="F123" i="4"/>
  <c r="F119" i="4"/>
  <c r="F120" i="4"/>
  <c r="F121" i="4"/>
  <c r="F118" i="4"/>
  <c r="F114" i="4"/>
  <c r="F115" i="4"/>
  <c r="F116" i="4"/>
  <c r="F113" i="4"/>
  <c r="F109" i="4"/>
  <c r="F110" i="4"/>
  <c r="F111" i="4"/>
  <c r="F108" i="4"/>
  <c r="F104" i="4"/>
  <c r="F105" i="4"/>
  <c r="F106" i="4"/>
  <c r="F103" i="4"/>
  <c r="E174" i="4"/>
  <c r="H174" i="4" s="1"/>
  <c r="F174" i="5" s="1"/>
  <c r="E175" i="4"/>
  <c r="H175" i="4" s="1"/>
  <c r="F175" i="5" s="1"/>
  <c r="E176" i="4"/>
  <c r="H176" i="4" s="1"/>
  <c r="F176" i="5" s="1"/>
  <c r="E173" i="4"/>
  <c r="E169" i="4"/>
  <c r="H169" i="4" s="1"/>
  <c r="F169" i="5" s="1"/>
  <c r="E170" i="4"/>
  <c r="H170" i="4" s="1"/>
  <c r="E171" i="4"/>
  <c r="H171" i="4" s="1"/>
  <c r="F171" i="5" s="1"/>
  <c r="E168" i="4"/>
  <c r="H168" i="4" s="1"/>
  <c r="F168" i="5" s="1"/>
  <c r="E164" i="4"/>
  <c r="E165" i="4"/>
  <c r="H165" i="4" s="1"/>
  <c r="F165" i="5" s="1"/>
  <c r="E166" i="4"/>
  <c r="E163" i="4"/>
  <c r="E159" i="4"/>
  <c r="H159" i="4" s="1"/>
  <c r="F159" i="5" s="1"/>
  <c r="E160" i="4"/>
  <c r="H160" i="4" s="1"/>
  <c r="F160" i="5" s="1"/>
  <c r="E161" i="4"/>
  <c r="E158" i="4"/>
  <c r="E154" i="4"/>
  <c r="H154" i="4" s="1"/>
  <c r="F154" i="5" s="1"/>
  <c r="E155" i="4"/>
  <c r="H155" i="4" s="1"/>
  <c r="F155" i="5" s="1"/>
  <c r="E156" i="4"/>
  <c r="E153" i="4"/>
  <c r="H153" i="4" s="1"/>
  <c r="F153" i="5" s="1"/>
  <c r="E149" i="4"/>
  <c r="H149" i="4" s="1"/>
  <c r="F149" i="5" s="1"/>
  <c r="E150" i="4"/>
  <c r="H150" i="4" s="1"/>
  <c r="F150" i="5" s="1"/>
  <c r="E151" i="4"/>
  <c r="E148" i="4"/>
  <c r="H148" i="4" s="1"/>
  <c r="F148" i="5" s="1"/>
  <c r="E144" i="4"/>
  <c r="H144" i="4" s="1"/>
  <c r="F144" i="5" s="1"/>
  <c r="E145" i="4"/>
  <c r="H145" i="4" s="1"/>
  <c r="F145" i="5" s="1"/>
  <c r="E146" i="4"/>
  <c r="E143" i="4"/>
  <c r="H143" i="4" s="1"/>
  <c r="F143" i="5" s="1"/>
  <c r="E139" i="4"/>
  <c r="H139" i="4" s="1"/>
  <c r="F139" i="5" s="1"/>
  <c r="E140" i="4"/>
  <c r="H140" i="4" s="1"/>
  <c r="F140" i="5" s="1"/>
  <c r="E141" i="4"/>
  <c r="E138" i="4"/>
  <c r="E134" i="4"/>
  <c r="H134" i="4" s="1"/>
  <c r="F134" i="5" s="1"/>
  <c r="E135" i="4"/>
  <c r="H135" i="4" s="1"/>
  <c r="F135" i="5" s="1"/>
  <c r="E136" i="4"/>
  <c r="E133" i="4"/>
  <c r="H133" i="4" s="1"/>
  <c r="F133" i="5" s="1"/>
  <c r="E129" i="4"/>
  <c r="E130" i="4"/>
  <c r="H130" i="4" s="1"/>
  <c r="F130" i="5" s="1"/>
  <c r="E131" i="4"/>
  <c r="E128" i="4"/>
  <c r="E124" i="4"/>
  <c r="E125" i="4"/>
  <c r="H125" i="4" s="1"/>
  <c r="F125" i="5" s="1"/>
  <c r="E126" i="4"/>
  <c r="E123" i="4"/>
  <c r="H123" i="4" s="1"/>
  <c r="F123" i="5" s="1"/>
  <c r="E119" i="4"/>
  <c r="H119" i="4" s="1"/>
  <c r="F119" i="5" s="1"/>
  <c r="E120" i="4"/>
  <c r="H120" i="4" s="1"/>
  <c r="F120" i="5" s="1"/>
  <c r="E121" i="4"/>
  <c r="E118" i="4"/>
  <c r="H118" i="4" s="1"/>
  <c r="F118" i="5" s="1"/>
  <c r="E114" i="4"/>
  <c r="H114" i="4" s="1"/>
  <c r="F114" i="5" s="1"/>
  <c r="E115" i="4"/>
  <c r="H115" i="4" s="1"/>
  <c r="F115" i="5" s="1"/>
  <c r="E116" i="4"/>
  <c r="E113" i="4"/>
  <c r="H113" i="4" s="1"/>
  <c r="F113" i="5" s="1"/>
  <c r="E109" i="4"/>
  <c r="E110" i="4"/>
  <c r="H110" i="4" s="1"/>
  <c r="F110" i="5" s="1"/>
  <c r="E111" i="4"/>
  <c r="E108" i="4"/>
  <c r="E104" i="4"/>
  <c r="E105" i="4"/>
  <c r="H105" i="4" s="1"/>
  <c r="F105" i="5" s="1"/>
  <c r="E106" i="4"/>
  <c r="E103" i="4"/>
  <c r="H103" i="4" s="1"/>
  <c r="F103" i="5" s="1"/>
  <c r="J137" i="3"/>
  <c r="E137" i="5" s="1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I155" i="3" s="1"/>
  <c r="H154" i="3"/>
  <c r="H153" i="3"/>
  <c r="I153" i="3" s="1"/>
  <c r="H152" i="3"/>
  <c r="H151" i="3"/>
  <c r="H150" i="3"/>
  <c r="H149" i="3"/>
  <c r="H148" i="3"/>
  <c r="H147" i="3"/>
  <c r="H146" i="3"/>
  <c r="I146" i="3" s="1"/>
  <c r="H145" i="3"/>
  <c r="H144" i="3"/>
  <c r="H143" i="3"/>
  <c r="I143" i="3" s="1"/>
  <c r="H142" i="3"/>
  <c r="H141" i="3"/>
  <c r="H140" i="3"/>
  <c r="I141" i="3" s="1"/>
  <c r="H139" i="3"/>
  <c r="I139" i="3" s="1"/>
  <c r="H138" i="3"/>
  <c r="H137" i="3"/>
  <c r="H136" i="3"/>
  <c r="I136" i="3" s="1"/>
  <c r="H135" i="3"/>
  <c r="H134" i="3"/>
  <c r="I135" i="3" s="1"/>
  <c r="H133" i="3"/>
  <c r="I133" i="3" s="1"/>
  <c r="H132" i="3"/>
  <c r="H131" i="3"/>
  <c r="H130" i="3"/>
  <c r="H129" i="3"/>
  <c r="I130" i="3" s="1"/>
  <c r="H128" i="3"/>
  <c r="H127" i="3"/>
  <c r="I126" i="3"/>
  <c r="I125" i="3"/>
  <c r="I124" i="3"/>
  <c r="I123" i="3"/>
  <c r="H121" i="3"/>
  <c r="H120" i="3"/>
  <c r="I120" i="3" s="1"/>
  <c r="H119" i="3"/>
  <c r="H118" i="3"/>
  <c r="H117" i="3"/>
  <c r="H116" i="3"/>
  <c r="H115" i="3"/>
  <c r="H114" i="3"/>
  <c r="H113" i="3"/>
  <c r="I114" i="3" s="1"/>
  <c r="H112" i="3"/>
  <c r="H111" i="3"/>
  <c r="H110" i="3"/>
  <c r="I110" i="3" s="1"/>
  <c r="H108" i="3"/>
  <c r="H107" i="3"/>
  <c r="H106" i="3"/>
  <c r="I106" i="3" s="1"/>
  <c r="H105" i="3"/>
  <c r="H104" i="3"/>
  <c r="I105" i="3" s="1"/>
  <c r="H103" i="3"/>
  <c r="H102" i="3"/>
  <c r="G169" i="3"/>
  <c r="G170" i="3"/>
  <c r="G171" i="3"/>
  <c r="G168" i="3"/>
  <c r="G165" i="3"/>
  <c r="G160" i="3"/>
  <c r="G145" i="3"/>
  <c r="G139" i="3"/>
  <c r="G140" i="3"/>
  <c r="G141" i="3"/>
  <c r="G138" i="3"/>
  <c r="G120" i="3"/>
  <c r="J120" i="3" s="1"/>
  <c r="E120" i="5" s="1"/>
  <c r="G104" i="3"/>
  <c r="G105" i="3"/>
  <c r="J105" i="3" s="1"/>
  <c r="E105" i="5" s="1"/>
  <c r="G106" i="3"/>
  <c r="G103" i="3"/>
  <c r="F176" i="3"/>
  <c r="F175" i="3"/>
  <c r="G175" i="3" s="1"/>
  <c r="F174" i="3"/>
  <c r="G174" i="3" s="1"/>
  <c r="F173" i="3"/>
  <c r="F172" i="3"/>
  <c r="J172" i="3" s="1"/>
  <c r="E172" i="5" s="1"/>
  <c r="F166" i="3"/>
  <c r="G166" i="3" s="1"/>
  <c r="F165" i="3"/>
  <c r="F164" i="3"/>
  <c r="F163" i="3"/>
  <c r="F162" i="3"/>
  <c r="J162" i="3" s="1"/>
  <c r="E162" i="5" s="1"/>
  <c r="F161" i="3"/>
  <c r="G161" i="3" s="1"/>
  <c r="F160" i="3"/>
  <c r="F159" i="3"/>
  <c r="F158" i="3"/>
  <c r="G158" i="3" s="1"/>
  <c r="F157" i="3"/>
  <c r="F156" i="3"/>
  <c r="F155" i="3"/>
  <c r="F154" i="3"/>
  <c r="G154" i="3" s="1"/>
  <c r="F153" i="3"/>
  <c r="F152" i="3"/>
  <c r="J152" i="3" s="1"/>
  <c r="E152" i="5" s="1"/>
  <c r="F151" i="3"/>
  <c r="F150" i="3"/>
  <c r="G150" i="3" s="1"/>
  <c r="F149" i="3"/>
  <c r="G149" i="3" s="1"/>
  <c r="F148" i="3"/>
  <c r="F147" i="3"/>
  <c r="J147" i="3" s="1"/>
  <c r="E147" i="5" s="1"/>
  <c r="F146" i="3"/>
  <c r="G146" i="3" s="1"/>
  <c r="F145" i="3"/>
  <c r="F144" i="3"/>
  <c r="F143" i="3"/>
  <c r="F142" i="3"/>
  <c r="J142" i="3" s="1"/>
  <c r="E142" i="5" s="1"/>
  <c r="F136" i="3"/>
  <c r="G136" i="3" s="1"/>
  <c r="F135" i="3"/>
  <c r="F134" i="3"/>
  <c r="F133" i="3"/>
  <c r="G133" i="3" s="1"/>
  <c r="F132" i="3"/>
  <c r="J132" i="3" s="1"/>
  <c r="E132" i="5" s="1"/>
  <c r="F131" i="3"/>
  <c r="G131" i="3" s="1"/>
  <c r="F130" i="3"/>
  <c r="F129" i="3"/>
  <c r="G129" i="3" s="1"/>
  <c r="F128" i="3"/>
  <c r="F127" i="3"/>
  <c r="J127" i="3" s="1"/>
  <c r="E127" i="5" s="1"/>
  <c r="F126" i="3"/>
  <c r="F125" i="3"/>
  <c r="G125" i="3" s="1"/>
  <c r="F124" i="3"/>
  <c r="G124" i="3" s="1"/>
  <c r="J124" i="3" s="1"/>
  <c r="E124" i="5" s="1"/>
  <c r="F123" i="3"/>
  <c r="F122" i="3"/>
  <c r="J122" i="3" s="1"/>
  <c r="E122" i="5" s="1"/>
  <c r="F121" i="3"/>
  <c r="G121" i="3" s="1"/>
  <c r="F120" i="3"/>
  <c r="F119" i="3"/>
  <c r="F118" i="3"/>
  <c r="F117" i="3"/>
  <c r="F116" i="3"/>
  <c r="G116" i="3" s="1"/>
  <c r="F115" i="3"/>
  <c r="G115" i="3" s="1"/>
  <c r="F114" i="3"/>
  <c r="F113" i="3"/>
  <c r="G113" i="3" s="1"/>
  <c r="F112" i="3"/>
  <c r="J112" i="3" s="1"/>
  <c r="E112" i="5" s="1"/>
  <c r="F111" i="3"/>
  <c r="F110" i="3"/>
  <c r="F109" i="3"/>
  <c r="G110" i="3" s="1"/>
  <c r="H3" i="3"/>
  <c r="G107" i="1"/>
  <c r="D107" i="5" s="1"/>
  <c r="G102" i="1"/>
  <c r="G112" i="1"/>
  <c r="D112" i="5" s="1"/>
  <c r="G117" i="1"/>
  <c r="D117" i="5" s="1"/>
  <c r="G122" i="1"/>
  <c r="D122" i="5" s="1"/>
  <c r="G127" i="1"/>
  <c r="D127" i="5" s="1"/>
  <c r="G132" i="1"/>
  <c r="D132" i="5" s="1"/>
  <c r="G137" i="1"/>
  <c r="D137" i="5" s="1"/>
  <c r="G142" i="1"/>
  <c r="D142" i="5" s="1"/>
  <c r="G147" i="1"/>
  <c r="D147" i="5" s="1"/>
  <c r="G152" i="1"/>
  <c r="D152" i="5" s="1"/>
  <c r="G157" i="1"/>
  <c r="D157" i="5" s="1"/>
  <c r="G162" i="1"/>
  <c r="D162" i="5" s="1"/>
  <c r="G167" i="1"/>
  <c r="D167" i="5" s="1"/>
  <c r="G172" i="1"/>
  <c r="D172" i="5" s="1"/>
  <c r="E174" i="1"/>
  <c r="G174" i="1" s="1"/>
  <c r="D174" i="5" s="1"/>
  <c r="E148" i="1"/>
  <c r="G148" i="1" s="1"/>
  <c r="D148" i="5" s="1"/>
  <c r="E136" i="1"/>
  <c r="G136" i="1" s="1"/>
  <c r="D136" i="5" s="1"/>
  <c r="E124" i="1"/>
  <c r="G124" i="1" s="1"/>
  <c r="D124" i="5" s="1"/>
  <c r="E125" i="1"/>
  <c r="G125" i="1" s="1"/>
  <c r="D125" i="5" s="1"/>
  <c r="E126" i="1"/>
  <c r="G126" i="1" s="1"/>
  <c r="D126" i="5" s="1"/>
  <c r="E123" i="1"/>
  <c r="G123" i="1" s="1"/>
  <c r="D123" i="5" s="1"/>
  <c r="E111" i="1"/>
  <c r="G111" i="1" s="1"/>
  <c r="D111" i="5" s="1"/>
  <c r="D176" i="1"/>
  <c r="E176" i="1" s="1"/>
  <c r="G176" i="1" s="1"/>
  <c r="D176" i="5" s="1"/>
  <c r="D175" i="1"/>
  <c r="E175" i="1" s="1"/>
  <c r="G175" i="1" s="1"/>
  <c r="D175" i="5" s="1"/>
  <c r="D174" i="1"/>
  <c r="D173" i="1"/>
  <c r="D172" i="1"/>
  <c r="D171" i="1"/>
  <c r="E171" i="1" s="1"/>
  <c r="G171" i="1" s="1"/>
  <c r="D171" i="5" s="1"/>
  <c r="D170" i="1"/>
  <c r="D169" i="1"/>
  <c r="D168" i="1"/>
  <c r="D167" i="1"/>
  <c r="D166" i="1"/>
  <c r="D165" i="1"/>
  <c r="D164" i="1"/>
  <c r="D163" i="1"/>
  <c r="E163" i="1" s="1"/>
  <c r="G163" i="1" s="1"/>
  <c r="D163" i="5" s="1"/>
  <c r="D162" i="1"/>
  <c r="D161" i="1"/>
  <c r="E161" i="1" s="1"/>
  <c r="G161" i="1" s="1"/>
  <c r="D161" i="5" s="1"/>
  <c r="D160" i="1"/>
  <c r="D159" i="1"/>
  <c r="E159" i="1" s="1"/>
  <c r="G159" i="1" s="1"/>
  <c r="D159" i="5" s="1"/>
  <c r="D158" i="1"/>
  <c r="D157" i="1"/>
  <c r="D156" i="1"/>
  <c r="D155" i="1"/>
  <c r="E156" i="1" s="1"/>
  <c r="G156" i="1" s="1"/>
  <c r="D156" i="5" s="1"/>
  <c r="D154" i="1"/>
  <c r="D153" i="1"/>
  <c r="E153" i="1" s="1"/>
  <c r="G153" i="1" s="1"/>
  <c r="D153" i="5" s="1"/>
  <c r="D152" i="1"/>
  <c r="D151" i="1"/>
  <c r="D150" i="1"/>
  <c r="D149" i="1"/>
  <c r="E149" i="1" s="1"/>
  <c r="G149" i="1" s="1"/>
  <c r="D149" i="5" s="1"/>
  <c r="D148" i="1"/>
  <c r="D147" i="1"/>
  <c r="D146" i="1"/>
  <c r="D145" i="1"/>
  <c r="E145" i="1" s="1"/>
  <c r="G145" i="1" s="1"/>
  <c r="D145" i="5" s="1"/>
  <c r="D144" i="1"/>
  <c r="E144" i="1" s="1"/>
  <c r="G144" i="1" s="1"/>
  <c r="D144" i="5" s="1"/>
  <c r="D143" i="1"/>
  <c r="D142" i="1"/>
  <c r="D141" i="1"/>
  <c r="E141" i="1" s="1"/>
  <c r="G141" i="1" s="1"/>
  <c r="D141" i="5" s="1"/>
  <c r="D140" i="1"/>
  <c r="D139" i="1"/>
  <c r="E139" i="1" s="1"/>
  <c r="G139" i="1" s="1"/>
  <c r="D139" i="5" s="1"/>
  <c r="D138" i="1"/>
  <c r="D137" i="1"/>
  <c r="D136" i="1"/>
  <c r="D135" i="1"/>
  <c r="D134" i="1"/>
  <c r="D133" i="1"/>
  <c r="E133" i="1" s="1"/>
  <c r="G133" i="1" s="1"/>
  <c r="D133" i="5" s="1"/>
  <c r="D132" i="1"/>
  <c r="D131" i="1"/>
  <c r="D130" i="1"/>
  <c r="D129" i="1"/>
  <c r="E129" i="1" s="1"/>
  <c r="G129" i="1" s="1"/>
  <c r="D129" i="5" s="1"/>
  <c r="D128" i="1"/>
  <c r="E128" i="1" s="1"/>
  <c r="G128" i="1" s="1"/>
  <c r="D128" i="5" s="1"/>
  <c r="D127" i="1"/>
  <c r="D121" i="1"/>
  <c r="D120" i="1"/>
  <c r="E120" i="1" s="1"/>
  <c r="G120" i="1" s="1"/>
  <c r="D120" i="5" s="1"/>
  <c r="D119" i="1"/>
  <c r="D118" i="1"/>
  <c r="D117" i="1"/>
  <c r="D116" i="1"/>
  <c r="E116" i="1" s="1"/>
  <c r="G116" i="1" s="1"/>
  <c r="D116" i="5" s="1"/>
  <c r="D115" i="1"/>
  <c r="D114" i="1"/>
  <c r="D113" i="1"/>
  <c r="E114" i="1" s="1"/>
  <c r="G114" i="1" s="1"/>
  <c r="D114" i="5" s="1"/>
  <c r="D112" i="1"/>
  <c r="D111" i="1"/>
  <c r="D110" i="1"/>
  <c r="D109" i="1"/>
  <c r="D108" i="1"/>
  <c r="E108" i="1" s="1"/>
  <c r="G108" i="1" s="1"/>
  <c r="D108" i="5" s="1"/>
  <c r="D107" i="1"/>
  <c r="D106" i="1"/>
  <c r="D105" i="1"/>
  <c r="D104" i="1"/>
  <c r="E104" i="1" s="1"/>
  <c r="G104" i="1" s="1"/>
  <c r="D104" i="5" s="1"/>
  <c r="D103" i="1"/>
  <c r="E103" i="1" s="1"/>
  <c r="G103" i="1" s="1"/>
  <c r="D103" i="5" s="1"/>
  <c r="D102" i="1"/>
  <c r="F107" i="2"/>
  <c r="H107" i="9" s="1"/>
  <c r="F112" i="2"/>
  <c r="H112" i="9" s="1"/>
  <c r="F117" i="2"/>
  <c r="H117" i="9" s="1"/>
  <c r="F122" i="2"/>
  <c r="H122" i="9" s="1"/>
  <c r="F127" i="2"/>
  <c r="H127" i="9" s="1"/>
  <c r="F132" i="2"/>
  <c r="H132" i="9" s="1"/>
  <c r="F137" i="2"/>
  <c r="H137" i="9" s="1"/>
  <c r="F142" i="2"/>
  <c r="H142" i="9" s="1"/>
  <c r="F147" i="2"/>
  <c r="H147" i="9" s="1"/>
  <c r="F152" i="2"/>
  <c r="H152" i="9" s="1"/>
  <c r="F157" i="2"/>
  <c r="H157" i="9" s="1"/>
  <c r="F158" i="2"/>
  <c r="H158" i="9" s="1"/>
  <c r="F162" i="2"/>
  <c r="H162" i="9" s="1"/>
  <c r="F167" i="2"/>
  <c r="H167" i="9" s="1"/>
  <c r="F172" i="2"/>
  <c r="H172" i="9" s="1"/>
  <c r="F173" i="2"/>
  <c r="H173" i="9" s="1"/>
  <c r="F174" i="2"/>
  <c r="H174" i="9" s="1"/>
  <c r="D174" i="2"/>
  <c r="D175" i="2"/>
  <c r="F175" i="2" s="1"/>
  <c r="H175" i="9" s="1"/>
  <c r="D176" i="2"/>
  <c r="F176" i="2" s="1"/>
  <c r="H176" i="9" s="1"/>
  <c r="D173" i="2"/>
  <c r="D169" i="2"/>
  <c r="F169" i="2" s="1"/>
  <c r="H169" i="9" s="1"/>
  <c r="D170" i="2"/>
  <c r="F170" i="2" s="1"/>
  <c r="H170" i="9" s="1"/>
  <c r="D171" i="2"/>
  <c r="F171" i="2" s="1"/>
  <c r="H171" i="9" s="1"/>
  <c r="D168" i="2"/>
  <c r="F168" i="2" s="1"/>
  <c r="H168" i="9" s="1"/>
  <c r="D164" i="2"/>
  <c r="F164" i="2" s="1"/>
  <c r="H164" i="9" s="1"/>
  <c r="D165" i="2"/>
  <c r="F165" i="2" s="1"/>
  <c r="H165" i="9" s="1"/>
  <c r="D166" i="2"/>
  <c r="F166" i="2" s="1"/>
  <c r="H166" i="9" s="1"/>
  <c r="D163" i="2"/>
  <c r="F163" i="2" s="1"/>
  <c r="H163" i="9" s="1"/>
  <c r="D159" i="2"/>
  <c r="F159" i="2" s="1"/>
  <c r="H159" i="9" s="1"/>
  <c r="D160" i="2"/>
  <c r="F160" i="2" s="1"/>
  <c r="H160" i="9" s="1"/>
  <c r="D161" i="2"/>
  <c r="F161" i="2" s="1"/>
  <c r="H161" i="9" s="1"/>
  <c r="D158" i="2"/>
  <c r="D154" i="2"/>
  <c r="F154" i="2" s="1"/>
  <c r="H154" i="9" s="1"/>
  <c r="D155" i="2"/>
  <c r="F155" i="2" s="1"/>
  <c r="H155" i="9" s="1"/>
  <c r="D156" i="2"/>
  <c r="F156" i="2" s="1"/>
  <c r="H156" i="9" s="1"/>
  <c r="D153" i="2"/>
  <c r="F153" i="2" s="1"/>
  <c r="H153" i="9" s="1"/>
  <c r="D149" i="2"/>
  <c r="F149" i="2" s="1"/>
  <c r="H149" i="9" s="1"/>
  <c r="D150" i="2"/>
  <c r="F150" i="2" s="1"/>
  <c r="H150" i="9" s="1"/>
  <c r="D151" i="2"/>
  <c r="F151" i="2" s="1"/>
  <c r="H151" i="9" s="1"/>
  <c r="D148" i="2"/>
  <c r="F148" i="2" s="1"/>
  <c r="H148" i="9" s="1"/>
  <c r="D144" i="2"/>
  <c r="F144" i="2" s="1"/>
  <c r="H144" i="9" s="1"/>
  <c r="D145" i="2"/>
  <c r="F145" i="2" s="1"/>
  <c r="H145" i="9" s="1"/>
  <c r="D146" i="2"/>
  <c r="F146" i="2" s="1"/>
  <c r="H146" i="9" s="1"/>
  <c r="D143" i="2"/>
  <c r="F143" i="2" s="1"/>
  <c r="H143" i="9" s="1"/>
  <c r="D139" i="2"/>
  <c r="F139" i="2" s="1"/>
  <c r="H139" i="9" s="1"/>
  <c r="D140" i="2"/>
  <c r="F140" i="2" s="1"/>
  <c r="H140" i="9" s="1"/>
  <c r="D141" i="2"/>
  <c r="F141" i="2" s="1"/>
  <c r="H141" i="9" s="1"/>
  <c r="D138" i="2"/>
  <c r="F138" i="2" s="1"/>
  <c r="H138" i="9" s="1"/>
  <c r="D134" i="2"/>
  <c r="F134" i="2" s="1"/>
  <c r="H134" i="9" s="1"/>
  <c r="D135" i="2"/>
  <c r="F135" i="2" s="1"/>
  <c r="H135" i="9" s="1"/>
  <c r="D136" i="2"/>
  <c r="F136" i="2" s="1"/>
  <c r="H136" i="9" s="1"/>
  <c r="D133" i="2"/>
  <c r="F133" i="2" s="1"/>
  <c r="H133" i="9" s="1"/>
  <c r="D129" i="2"/>
  <c r="F129" i="2" s="1"/>
  <c r="H129" i="9" s="1"/>
  <c r="D130" i="2"/>
  <c r="F130" i="2" s="1"/>
  <c r="H130" i="9" s="1"/>
  <c r="D131" i="2"/>
  <c r="F131" i="2" s="1"/>
  <c r="H131" i="9" s="1"/>
  <c r="D128" i="2"/>
  <c r="F128" i="2" s="1"/>
  <c r="H128" i="9" s="1"/>
  <c r="D124" i="2"/>
  <c r="F124" i="2" s="1"/>
  <c r="H124" i="9" s="1"/>
  <c r="D125" i="2"/>
  <c r="F125" i="2" s="1"/>
  <c r="H125" i="9" s="1"/>
  <c r="D126" i="2"/>
  <c r="F126" i="2" s="1"/>
  <c r="H126" i="9" s="1"/>
  <c r="D123" i="2"/>
  <c r="F123" i="2" s="1"/>
  <c r="H123" i="9" s="1"/>
  <c r="D119" i="2"/>
  <c r="F119" i="2" s="1"/>
  <c r="H119" i="9" s="1"/>
  <c r="D120" i="2"/>
  <c r="F120" i="2" s="1"/>
  <c r="H120" i="9" s="1"/>
  <c r="D121" i="2"/>
  <c r="F121" i="2" s="1"/>
  <c r="H121" i="9" s="1"/>
  <c r="D118" i="2"/>
  <c r="F118" i="2" s="1"/>
  <c r="H118" i="9" s="1"/>
  <c r="D114" i="2"/>
  <c r="F114" i="2" s="1"/>
  <c r="H114" i="9" s="1"/>
  <c r="D115" i="2"/>
  <c r="F115" i="2" s="1"/>
  <c r="H115" i="9" s="1"/>
  <c r="D116" i="2"/>
  <c r="F116" i="2" s="1"/>
  <c r="H116" i="9" s="1"/>
  <c r="D113" i="2"/>
  <c r="F113" i="2" s="1"/>
  <c r="H113" i="9" s="1"/>
  <c r="D109" i="2"/>
  <c r="F109" i="2" s="1"/>
  <c r="H109" i="9" s="1"/>
  <c r="D110" i="2"/>
  <c r="F110" i="2" s="1"/>
  <c r="H110" i="9" s="1"/>
  <c r="D111" i="2"/>
  <c r="F111" i="2" s="1"/>
  <c r="H111" i="9" s="1"/>
  <c r="D108" i="2"/>
  <c r="F108" i="2" s="1"/>
  <c r="H108" i="9" s="1"/>
  <c r="D104" i="2"/>
  <c r="F104" i="2" s="1"/>
  <c r="H104" i="9" s="1"/>
  <c r="D105" i="2"/>
  <c r="F105" i="2" s="1"/>
  <c r="H105" i="9" s="1"/>
  <c r="D106" i="2"/>
  <c r="F106" i="2" s="1"/>
  <c r="H106" i="9" s="1"/>
  <c r="D103" i="2"/>
  <c r="F103" i="2" s="1"/>
  <c r="H103" i="9" s="1"/>
  <c r="F102" i="2"/>
  <c r="H102" i="9" s="1"/>
  <c r="G162" i="9" l="1"/>
  <c r="G157" i="9"/>
  <c r="G142" i="9"/>
  <c r="G122" i="9"/>
  <c r="I122" i="9" s="1"/>
  <c r="D122" i="10" s="1"/>
  <c r="G172" i="9"/>
  <c r="I172" i="9" s="1"/>
  <c r="D172" i="10" s="1"/>
  <c r="G148" i="9"/>
  <c r="G131" i="8"/>
  <c r="F131" i="9" s="1"/>
  <c r="G131" i="9" s="1"/>
  <c r="I131" i="9" s="1"/>
  <c r="D131" i="10" s="1"/>
  <c r="G168" i="8"/>
  <c r="F168" i="9" s="1"/>
  <c r="G145" i="8"/>
  <c r="F145" i="9" s="1"/>
  <c r="O105" i="7"/>
  <c r="E105" i="9" s="1"/>
  <c r="O115" i="7"/>
  <c r="E115" i="9" s="1"/>
  <c r="N169" i="7"/>
  <c r="O170" i="7" s="1"/>
  <c r="E170" i="9" s="1"/>
  <c r="G170" i="9" s="1"/>
  <c r="I170" i="9" s="1"/>
  <c r="D170" i="10" s="1"/>
  <c r="N117" i="7"/>
  <c r="O118" i="7" s="1"/>
  <c r="E118" i="9" s="1"/>
  <c r="G118" i="9" s="1"/>
  <c r="I118" i="9" s="1"/>
  <c r="D118" i="10" s="1"/>
  <c r="G102" i="9"/>
  <c r="I102" i="9" s="1"/>
  <c r="D102" i="10" s="1"/>
  <c r="G151" i="9"/>
  <c r="I151" i="9" s="1"/>
  <c r="D151" i="10" s="1"/>
  <c r="G115" i="9"/>
  <c r="I115" i="9" s="1"/>
  <c r="D115" i="10" s="1"/>
  <c r="N176" i="7"/>
  <c r="O176" i="7" s="1"/>
  <c r="E176" i="9" s="1"/>
  <c r="N160" i="7"/>
  <c r="O161" i="7" s="1"/>
  <c r="E161" i="9" s="1"/>
  <c r="N152" i="7"/>
  <c r="O153" i="7" s="1"/>
  <c r="E153" i="9" s="1"/>
  <c r="G153" i="9" s="1"/>
  <c r="I153" i="9" s="1"/>
  <c r="D153" i="10" s="1"/>
  <c r="N144" i="7"/>
  <c r="N140" i="7"/>
  <c r="O140" i="7" s="1"/>
  <c r="E140" i="9" s="1"/>
  <c r="G140" i="9" s="1"/>
  <c r="I140" i="9" s="1"/>
  <c r="D140" i="10" s="1"/>
  <c r="N136" i="7"/>
  <c r="O136" i="7" s="1"/>
  <c r="E136" i="9" s="1"/>
  <c r="G136" i="9" s="1"/>
  <c r="I136" i="9" s="1"/>
  <c r="D136" i="10" s="1"/>
  <c r="N132" i="7"/>
  <c r="N128" i="7"/>
  <c r="N120" i="7"/>
  <c r="O120" i="7" s="1"/>
  <c r="E120" i="9" s="1"/>
  <c r="N116" i="7"/>
  <c r="O116" i="7" s="1"/>
  <c r="E116" i="9" s="1"/>
  <c r="N112" i="7"/>
  <c r="O113" i="7" s="1"/>
  <c r="E113" i="9" s="1"/>
  <c r="N108" i="7"/>
  <c r="O108" i="7" s="1"/>
  <c r="E108" i="9" s="1"/>
  <c r="N104" i="7"/>
  <c r="O104" i="7" s="1"/>
  <c r="E104" i="9" s="1"/>
  <c r="G126" i="8"/>
  <c r="F126" i="9" s="1"/>
  <c r="G126" i="9" s="1"/>
  <c r="I126" i="9" s="1"/>
  <c r="D126" i="10" s="1"/>
  <c r="G113" i="8"/>
  <c r="F113" i="9" s="1"/>
  <c r="G110" i="8"/>
  <c r="F110" i="9" s="1"/>
  <c r="G137" i="9"/>
  <c r="I137" i="9" s="1"/>
  <c r="D137" i="10" s="1"/>
  <c r="G117" i="9"/>
  <c r="I117" i="9" s="1"/>
  <c r="D117" i="10" s="1"/>
  <c r="I157" i="9"/>
  <c r="D157" i="10" s="1"/>
  <c r="O154" i="7"/>
  <c r="E154" i="9" s="1"/>
  <c r="O146" i="7"/>
  <c r="E146" i="9" s="1"/>
  <c r="G146" i="9" s="1"/>
  <c r="I146" i="9" s="1"/>
  <c r="D146" i="10" s="1"/>
  <c r="G156" i="9"/>
  <c r="N173" i="7"/>
  <c r="O174" i="7" s="1"/>
  <c r="E174" i="9" s="1"/>
  <c r="G174" i="9" s="1"/>
  <c r="I174" i="9" s="1"/>
  <c r="D174" i="10" s="1"/>
  <c r="N165" i="7"/>
  <c r="O166" i="7" s="1"/>
  <c r="E166" i="9" s="1"/>
  <c r="G166" i="9" s="1"/>
  <c r="I166" i="9" s="1"/>
  <c r="D166" i="10" s="1"/>
  <c r="N149" i="7"/>
  <c r="O150" i="7" s="1"/>
  <c r="E150" i="9" s="1"/>
  <c r="N133" i="7"/>
  <c r="O133" i="7" s="1"/>
  <c r="E133" i="9" s="1"/>
  <c r="O171" i="7"/>
  <c r="E171" i="9" s="1"/>
  <c r="G171" i="9" s="1"/>
  <c r="I171" i="9" s="1"/>
  <c r="D171" i="10" s="1"/>
  <c r="O159" i="7"/>
  <c r="E159" i="9" s="1"/>
  <c r="G159" i="9" s="1"/>
  <c r="I159" i="9" s="1"/>
  <c r="D159" i="10" s="1"/>
  <c r="O155" i="7"/>
  <c r="E155" i="9" s="1"/>
  <c r="G155" i="9" s="1"/>
  <c r="I155" i="9" s="1"/>
  <c r="D155" i="10" s="1"/>
  <c r="O143" i="7"/>
  <c r="E143" i="9" s="1"/>
  <c r="O139" i="7"/>
  <c r="E139" i="9" s="1"/>
  <c r="G139" i="9" s="1"/>
  <c r="I139" i="9" s="1"/>
  <c r="D139" i="10" s="1"/>
  <c r="O135" i="7"/>
  <c r="E135" i="9" s="1"/>
  <c r="G135" i="9" s="1"/>
  <c r="I135" i="9" s="1"/>
  <c r="D135" i="10" s="1"/>
  <c r="O123" i="7"/>
  <c r="E123" i="9" s="1"/>
  <c r="G123" i="9" s="1"/>
  <c r="I123" i="9" s="1"/>
  <c r="D123" i="10" s="1"/>
  <c r="O119" i="7"/>
  <c r="E119" i="9" s="1"/>
  <c r="G119" i="9" s="1"/>
  <c r="I119" i="9" s="1"/>
  <c r="D119" i="10" s="1"/>
  <c r="O111" i="7"/>
  <c r="E111" i="9" s="1"/>
  <c r="G111" i="9" s="1"/>
  <c r="I111" i="9" s="1"/>
  <c r="D111" i="10" s="1"/>
  <c r="O103" i="7"/>
  <c r="E103" i="9" s="1"/>
  <c r="G128" i="8"/>
  <c r="F128" i="9" s="1"/>
  <c r="G124" i="8"/>
  <c r="F124" i="9" s="1"/>
  <c r="G124" i="9" s="1"/>
  <c r="I124" i="9" s="1"/>
  <c r="D124" i="10" s="1"/>
  <c r="G120" i="8"/>
  <c r="F120" i="9" s="1"/>
  <c r="G116" i="8"/>
  <c r="F116" i="9" s="1"/>
  <c r="G108" i="8"/>
  <c r="F108" i="9" s="1"/>
  <c r="G104" i="8"/>
  <c r="F104" i="9" s="1"/>
  <c r="G167" i="9"/>
  <c r="I167" i="9" s="1"/>
  <c r="D167" i="10" s="1"/>
  <c r="G152" i="9"/>
  <c r="I152" i="9" s="1"/>
  <c r="D152" i="10" s="1"/>
  <c r="F152" i="10" s="1"/>
  <c r="G152" i="10" s="1"/>
  <c r="G132" i="9"/>
  <c r="I132" i="9" s="1"/>
  <c r="D132" i="10" s="1"/>
  <c r="G112" i="9"/>
  <c r="I112" i="9" s="1"/>
  <c r="D112" i="10" s="1"/>
  <c r="F112" i="10" s="1"/>
  <c r="G112" i="10" s="1"/>
  <c r="G168" i="6"/>
  <c r="D168" i="9" s="1"/>
  <c r="G168" i="9" s="1"/>
  <c r="I168" i="9" s="1"/>
  <c r="D168" i="10" s="1"/>
  <c r="G161" i="6"/>
  <c r="D161" i="9" s="1"/>
  <c r="G153" i="6"/>
  <c r="D153" i="9" s="1"/>
  <c r="G133" i="6"/>
  <c r="D133" i="9" s="1"/>
  <c r="G113" i="6"/>
  <c r="D113" i="9" s="1"/>
  <c r="G103" i="6"/>
  <c r="D103" i="9" s="1"/>
  <c r="G169" i="6"/>
  <c r="D169" i="9" s="1"/>
  <c r="G154" i="6"/>
  <c r="D154" i="9" s="1"/>
  <c r="G134" i="6"/>
  <c r="D134" i="9" s="1"/>
  <c r="G114" i="6"/>
  <c r="D114" i="9" s="1"/>
  <c r="G160" i="6"/>
  <c r="D160" i="9" s="1"/>
  <c r="G127" i="5"/>
  <c r="E127" i="10" s="1"/>
  <c r="H129" i="4"/>
  <c r="F129" i="5" s="1"/>
  <c r="H104" i="4"/>
  <c r="F104" i="5" s="1"/>
  <c r="H109" i="4"/>
  <c r="F109" i="5" s="1"/>
  <c r="H124" i="4"/>
  <c r="F124" i="5" s="1"/>
  <c r="G124" i="5" s="1"/>
  <c r="E124" i="10" s="1"/>
  <c r="H111" i="4"/>
  <c r="F111" i="5" s="1"/>
  <c r="H116" i="4"/>
  <c r="F116" i="5" s="1"/>
  <c r="H121" i="4"/>
  <c r="F121" i="5" s="1"/>
  <c r="H131" i="4"/>
  <c r="F131" i="5" s="1"/>
  <c r="H136" i="4"/>
  <c r="F136" i="5" s="1"/>
  <c r="H141" i="4"/>
  <c r="F141" i="5" s="1"/>
  <c r="G141" i="5" s="1"/>
  <c r="E141" i="10" s="1"/>
  <c r="H146" i="4"/>
  <c r="F146" i="5" s="1"/>
  <c r="H156" i="4"/>
  <c r="F156" i="5" s="1"/>
  <c r="H161" i="4"/>
  <c r="F161" i="5" s="1"/>
  <c r="J133" i="3"/>
  <c r="E133" i="5" s="1"/>
  <c r="G133" i="5" s="1"/>
  <c r="E133" i="10" s="1"/>
  <c r="G162" i="5"/>
  <c r="E162" i="10" s="1"/>
  <c r="G147" i="5"/>
  <c r="E147" i="10" s="1"/>
  <c r="G118" i="3"/>
  <c r="G143" i="3"/>
  <c r="G163" i="3"/>
  <c r="J141" i="3"/>
  <c r="E141" i="5" s="1"/>
  <c r="G144" i="3"/>
  <c r="J117" i="3"/>
  <c r="E117" i="5" s="1"/>
  <c r="G117" i="5" s="1"/>
  <c r="E117" i="10" s="1"/>
  <c r="I121" i="3"/>
  <c r="J121" i="3" s="1"/>
  <c r="E121" i="5" s="1"/>
  <c r="I173" i="3"/>
  <c r="G152" i="5"/>
  <c r="E152" i="10" s="1"/>
  <c r="J175" i="3"/>
  <c r="E175" i="5" s="1"/>
  <c r="G175" i="5" s="1"/>
  <c r="E175" i="10" s="1"/>
  <c r="G111" i="3"/>
  <c r="J111" i="3" s="1"/>
  <c r="E111" i="5" s="1"/>
  <c r="G119" i="3"/>
  <c r="G123" i="3"/>
  <c r="J123" i="3" s="1"/>
  <c r="E123" i="5" s="1"/>
  <c r="G123" i="5" s="1"/>
  <c r="E123" i="10" s="1"/>
  <c r="G135" i="3"/>
  <c r="J135" i="3" s="1"/>
  <c r="E135" i="5" s="1"/>
  <c r="G148" i="3"/>
  <c r="G156" i="3"/>
  <c r="J156" i="3" s="1"/>
  <c r="E156" i="5" s="1"/>
  <c r="G156" i="5" s="1"/>
  <c r="E156" i="10" s="1"/>
  <c r="G164" i="3"/>
  <c r="G173" i="3"/>
  <c r="I138" i="3"/>
  <c r="I170" i="3"/>
  <c r="J170" i="3" s="1"/>
  <c r="E170" i="5" s="1"/>
  <c r="G120" i="5"/>
  <c r="E120" i="10" s="1"/>
  <c r="J138" i="3"/>
  <c r="E138" i="5" s="1"/>
  <c r="G172" i="5"/>
  <c r="E172" i="10" s="1"/>
  <c r="G137" i="5"/>
  <c r="E137" i="10" s="1"/>
  <c r="J157" i="3"/>
  <c r="E157" i="5" s="1"/>
  <c r="G157" i="5" s="1"/>
  <c r="E157" i="10" s="1"/>
  <c r="I116" i="3"/>
  <c r="J116" i="3" s="1"/>
  <c r="E116" i="5" s="1"/>
  <c r="J139" i="3"/>
  <c r="E139" i="5" s="1"/>
  <c r="G139" i="5" s="1"/>
  <c r="E139" i="10" s="1"/>
  <c r="I156" i="3"/>
  <c r="I161" i="3"/>
  <c r="J161" i="3" s="1"/>
  <c r="E161" i="5" s="1"/>
  <c r="G161" i="5" s="1"/>
  <c r="E161" i="10" s="1"/>
  <c r="I175" i="3"/>
  <c r="J107" i="3"/>
  <c r="E107" i="5" s="1"/>
  <c r="E164" i="1"/>
  <c r="G164" i="1" s="1"/>
  <c r="D164" i="5" s="1"/>
  <c r="E118" i="1"/>
  <c r="G118" i="1" s="1"/>
  <c r="D118" i="5" s="1"/>
  <c r="E131" i="1"/>
  <c r="G131" i="1" s="1"/>
  <c r="D131" i="5" s="1"/>
  <c r="E143" i="1"/>
  <c r="G143" i="1" s="1"/>
  <c r="D143" i="5" s="1"/>
  <c r="E151" i="1"/>
  <c r="G151" i="1" s="1"/>
  <c r="D151" i="5" s="1"/>
  <c r="E119" i="1"/>
  <c r="G119" i="1" s="1"/>
  <c r="D119" i="5" s="1"/>
  <c r="E168" i="1"/>
  <c r="G168" i="1" s="1"/>
  <c r="D168" i="5" s="1"/>
  <c r="E115" i="1"/>
  <c r="G115" i="1" s="1"/>
  <c r="D115" i="5" s="1"/>
  <c r="E140" i="1"/>
  <c r="G140" i="1" s="1"/>
  <c r="D140" i="5" s="1"/>
  <c r="E160" i="1"/>
  <c r="G160" i="1" s="1"/>
  <c r="D160" i="5" s="1"/>
  <c r="E166" i="1"/>
  <c r="G166" i="1" s="1"/>
  <c r="D166" i="5" s="1"/>
  <c r="I168" i="3"/>
  <c r="J168" i="3" s="1"/>
  <c r="E168" i="5" s="1"/>
  <c r="J167" i="3"/>
  <c r="E167" i="5" s="1"/>
  <c r="G167" i="5" s="1"/>
  <c r="E167" i="10" s="1"/>
  <c r="G107" i="5"/>
  <c r="E107" i="10" s="1"/>
  <c r="I103" i="3"/>
  <c r="J103" i="3" s="1"/>
  <c r="E103" i="5" s="1"/>
  <c r="G103" i="5" s="1"/>
  <c r="E103" i="10" s="1"/>
  <c r="J102" i="3"/>
  <c r="E102" i="5" s="1"/>
  <c r="G102" i="5" s="1"/>
  <c r="E102" i="10" s="1"/>
  <c r="I118" i="3"/>
  <c r="I144" i="3"/>
  <c r="J144" i="3" s="1"/>
  <c r="E144" i="5" s="1"/>
  <c r="G144" i="5" s="1"/>
  <c r="E144" i="10" s="1"/>
  <c r="G142" i="5"/>
  <c r="E142" i="10" s="1"/>
  <c r="G105" i="6"/>
  <c r="D105" i="9" s="1"/>
  <c r="J118" i="3"/>
  <c r="E118" i="5" s="1"/>
  <c r="J143" i="3"/>
  <c r="E143" i="5" s="1"/>
  <c r="J136" i="3"/>
  <c r="E136" i="5" s="1"/>
  <c r="G136" i="5" s="1"/>
  <c r="E136" i="10" s="1"/>
  <c r="G143" i="9"/>
  <c r="I143" i="9" s="1"/>
  <c r="D143" i="10" s="1"/>
  <c r="G141" i="6"/>
  <c r="D141" i="9" s="1"/>
  <c r="O175" i="7"/>
  <c r="E175" i="9" s="1"/>
  <c r="G175" i="9" s="1"/>
  <c r="I175" i="9" s="1"/>
  <c r="D175" i="10" s="1"/>
  <c r="O121" i="7"/>
  <c r="E121" i="9" s="1"/>
  <c r="I127" i="9"/>
  <c r="D127" i="10" s="1"/>
  <c r="I148" i="9"/>
  <c r="D148" i="10" s="1"/>
  <c r="I156" i="9"/>
  <c r="D156" i="10" s="1"/>
  <c r="J110" i="3"/>
  <c r="E110" i="5" s="1"/>
  <c r="J125" i="3"/>
  <c r="E125" i="5" s="1"/>
  <c r="G125" i="5" s="1"/>
  <c r="E125" i="10" s="1"/>
  <c r="J146" i="3"/>
  <c r="E146" i="5" s="1"/>
  <c r="G132" i="5"/>
  <c r="E132" i="10" s="1"/>
  <c r="G144" i="6"/>
  <c r="D144" i="9" s="1"/>
  <c r="G145" i="6"/>
  <c r="D145" i="9" s="1"/>
  <c r="G121" i="6"/>
  <c r="D121" i="9" s="1"/>
  <c r="G120" i="6"/>
  <c r="D120" i="9" s="1"/>
  <c r="G176" i="6"/>
  <c r="D176" i="9" s="1"/>
  <c r="F172" i="10"/>
  <c r="G172" i="10" s="1"/>
  <c r="E105" i="1"/>
  <c r="G105" i="1" s="1"/>
  <c r="D105" i="5" s="1"/>
  <c r="G105" i="5" s="1"/>
  <c r="E105" i="10" s="1"/>
  <c r="E109" i="1"/>
  <c r="G109" i="1" s="1"/>
  <c r="D109" i="5" s="1"/>
  <c r="E113" i="1"/>
  <c r="G113" i="1" s="1"/>
  <c r="D113" i="5" s="1"/>
  <c r="E121" i="1"/>
  <c r="G121" i="1" s="1"/>
  <c r="D121" i="5" s="1"/>
  <c r="E130" i="1"/>
  <c r="G130" i="1" s="1"/>
  <c r="D130" i="5" s="1"/>
  <c r="E134" i="1"/>
  <c r="G134" i="1" s="1"/>
  <c r="D134" i="5" s="1"/>
  <c r="E138" i="1"/>
  <c r="G138" i="1" s="1"/>
  <c r="D138" i="5" s="1"/>
  <c r="E146" i="1"/>
  <c r="G146" i="1" s="1"/>
  <c r="D146" i="5" s="1"/>
  <c r="G146" i="5" s="1"/>
  <c r="E146" i="10" s="1"/>
  <c r="E150" i="1"/>
  <c r="G150" i="1" s="1"/>
  <c r="D150" i="5" s="1"/>
  <c r="E154" i="1"/>
  <c r="G154" i="1" s="1"/>
  <c r="D154" i="5" s="1"/>
  <c r="E158" i="1"/>
  <c r="G158" i="1" s="1"/>
  <c r="D158" i="5" s="1"/>
  <c r="E165" i="1"/>
  <c r="G165" i="1" s="1"/>
  <c r="D165" i="5" s="1"/>
  <c r="E169" i="1"/>
  <c r="G169" i="1" s="1"/>
  <c r="D169" i="5" s="1"/>
  <c r="E173" i="1"/>
  <c r="G173" i="1" s="1"/>
  <c r="D173" i="5" s="1"/>
  <c r="G122" i="5"/>
  <c r="E122" i="10" s="1"/>
  <c r="G112" i="5"/>
  <c r="E112" i="10" s="1"/>
  <c r="J173" i="3"/>
  <c r="E173" i="5" s="1"/>
  <c r="G108" i="3"/>
  <c r="G125" i="6"/>
  <c r="D125" i="9" s="1"/>
  <c r="O129" i="7"/>
  <c r="E129" i="9" s="1"/>
  <c r="O130" i="7"/>
  <c r="E130" i="9" s="1"/>
  <c r="G130" i="9" s="1"/>
  <c r="I130" i="9" s="1"/>
  <c r="D130" i="10" s="1"/>
  <c r="E106" i="1"/>
  <c r="G106" i="1" s="1"/>
  <c r="D106" i="5" s="1"/>
  <c r="E110" i="1"/>
  <c r="G110" i="1" s="1"/>
  <c r="D110" i="5" s="1"/>
  <c r="E135" i="1"/>
  <c r="G135" i="1" s="1"/>
  <c r="D135" i="5" s="1"/>
  <c r="E155" i="1"/>
  <c r="G155" i="1" s="1"/>
  <c r="D155" i="5" s="1"/>
  <c r="G155" i="5" s="1"/>
  <c r="E155" i="10" s="1"/>
  <c r="E170" i="1"/>
  <c r="G170" i="1" s="1"/>
  <c r="D170" i="5" s="1"/>
  <c r="G128" i="3"/>
  <c r="G153" i="3"/>
  <c r="J153" i="3" s="1"/>
  <c r="E153" i="5" s="1"/>
  <c r="G153" i="5" s="1"/>
  <c r="E153" i="10" s="1"/>
  <c r="J106" i="3"/>
  <c r="E106" i="5" s="1"/>
  <c r="G114" i="3"/>
  <c r="J114" i="3" s="1"/>
  <c r="E114" i="5" s="1"/>
  <c r="G114" i="5" s="1"/>
  <c r="E114" i="10" s="1"/>
  <c r="G126" i="3"/>
  <c r="J126" i="3" s="1"/>
  <c r="E126" i="5" s="1"/>
  <c r="G130" i="3"/>
  <c r="J130" i="3" s="1"/>
  <c r="E130" i="5" s="1"/>
  <c r="G134" i="3"/>
  <c r="G151" i="3"/>
  <c r="G155" i="3"/>
  <c r="J155" i="3" s="1"/>
  <c r="E155" i="5" s="1"/>
  <c r="G159" i="3"/>
  <c r="G176" i="3"/>
  <c r="I111" i="3"/>
  <c r="I119" i="3"/>
  <c r="I145" i="3"/>
  <c r="J145" i="3" s="1"/>
  <c r="E145" i="5" s="1"/>
  <c r="G145" i="5" s="1"/>
  <c r="E145" i="10" s="1"/>
  <c r="I159" i="3"/>
  <c r="I165" i="3"/>
  <c r="J165" i="3" s="1"/>
  <c r="E165" i="5" s="1"/>
  <c r="I174" i="3"/>
  <c r="J174" i="3" s="1"/>
  <c r="E174" i="5" s="1"/>
  <c r="G174" i="5" s="1"/>
  <c r="E174" i="10" s="1"/>
  <c r="O163" i="7"/>
  <c r="E163" i="9" s="1"/>
  <c r="G163" i="9" s="1"/>
  <c r="I163" i="9" s="1"/>
  <c r="D163" i="10" s="1"/>
  <c r="O144" i="7"/>
  <c r="E144" i="9" s="1"/>
  <c r="O128" i="7"/>
  <c r="E128" i="9" s="1"/>
  <c r="O164" i="7"/>
  <c r="E164" i="9" s="1"/>
  <c r="O165" i="7"/>
  <c r="E165" i="9" s="1"/>
  <c r="G165" i="9" s="1"/>
  <c r="I165" i="9" s="1"/>
  <c r="D165" i="10" s="1"/>
  <c r="O145" i="7"/>
  <c r="E145" i="9" s="1"/>
  <c r="O109" i="7"/>
  <c r="E109" i="9" s="1"/>
  <c r="O110" i="7"/>
  <c r="E110" i="9" s="1"/>
  <c r="G105" i="8"/>
  <c r="F105" i="9" s="1"/>
  <c r="G141" i="8"/>
  <c r="F141" i="9" s="1"/>
  <c r="I108" i="3"/>
  <c r="I109" i="3"/>
  <c r="I150" i="3"/>
  <c r="J150" i="3" s="1"/>
  <c r="E150" i="5" s="1"/>
  <c r="I171" i="3"/>
  <c r="J171" i="3" s="1"/>
  <c r="E171" i="5" s="1"/>
  <c r="G171" i="5" s="1"/>
  <c r="E171" i="10" s="1"/>
  <c r="H106" i="4"/>
  <c r="F106" i="5" s="1"/>
  <c r="H126" i="4"/>
  <c r="F126" i="5" s="1"/>
  <c r="H151" i="4"/>
  <c r="F151" i="5" s="1"/>
  <c r="H166" i="4"/>
  <c r="F166" i="5" s="1"/>
  <c r="G158" i="9"/>
  <c r="I158" i="9" s="1"/>
  <c r="D158" i="10" s="1"/>
  <c r="O125" i="7"/>
  <c r="E125" i="9" s="1"/>
  <c r="G176" i="8"/>
  <c r="F176" i="9" s="1"/>
  <c r="G138" i="9"/>
  <c r="I138" i="9" s="1"/>
  <c r="D138" i="10" s="1"/>
  <c r="O173" i="7"/>
  <c r="E173" i="9" s="1"/>
  <c r="G173" i="9" s="1"/>
  <c r="I173" i="9" s="1"/>
  <c r="D173" i="10" s="1"/>
  <c r="O114" i="7"/>
  <c r="E114" i="9" s="1"/>
  <c r="I162" i="9"/>
  <c r="D162" i="10" s="1"/>
  <c r="F162" i="10" s="1"/>
  <c r="G162" i="10" s="1"/>
  <c r="I147" i="9"/>
  <c r="D147" i="10" s="1"/>
  <c r="F147" i="10" s="1"/>
  <c r="G147" i="10" s="1"/>
  <c r="G164" i="8"/>
  <c r="F164" i="9" s="1"/>
  <c r="G161" i="8"/>
  <c r="F161" i="9" s="1"/>
  <c r="G149" i="8"/>
  <c r="F149" i="9" s="1"/>
  <c r="G150" i="8"/>
  <c r="F150" i="9" s="1"/>
  <c r="G150" i="9" s="1"/>
  <c r="I150" i="9" s="1"/>
  <c r="D150" i="10" s="1"/>
  <c r="G133" i="8"/>
  <c r="F133" i="9" s="1"/>
  <c r="G133" i="9" s="1"/>
  <c r="I133" i="9" s="1"/>
  <c r="D133" i="10" s="1"/>
  <c r="G129" i="8"/>
  <c r="F129" i="9" s="1"/>
  <c r="G109" i="8"/>
  <c r="F109" i="9" s="1"/>
  <c r="G125" i="8"/>
  <c r="F125" i="9" s="1"/>
  <c r="I128" i="3"/>
  <c r="I131" i="3"/>
  <c r="J131" i="3" s="1"/>
  <c r="E131" i="5" s="1"/>
  <c r="G131" i="5" s="1"/>
  <c r="E131" i="10" s="1"/>
  <c r="I134" i="3"/>
  <c r="I148" i="3"/>
  <c r="J148" i="3" s="1"/>
  <c r="E148" i="5" s="1"/>
  <c r="G148" i="5" s="1"/>
  <c r="E148" i="10" s="1"/>
  <c r="I151" i="3"/>
  <c r="I154" i="3"/>
  <c r="J154" i="3" s="1"/>
  <c r="E154" i="5" s="1"/>
  <c r="I163" i="3"/>
  <c r="I166" i="3"/>
  <c r="J166" i="3" s="1"/>
  <c r="E166" i="5" s="1"/>
  <c r="I169" i="3"/>
  <c r="J169" i="3" s="1"/>
  <c r="E169" i="5" s="1"/>
  <c r="I176" i="3"/>
  <c r="G164" i="6"/>
  <c r="D164" i="9" s="1"/>
  <c r="G149" i="6"/>
  <c r="D149" i="9" s="1"/>
  <c r="G129" i="6"/>
  <c r="D129" i="9" s="1"/>
  <c r="G109" i="6"/>
  <c r="D109" i="9" s="1"/>
  <c r="G109" i="9" s="1"/>
  <c r="I109" i="9" s="1"/>
  <c r="D109" i="10" s="1"/>
  <c r="I107" i="9"/>
  <c r="D107" i="10" s="1"/>
  <c r="G169" i="8"/>
  <c r="F169" i="9" s="1"/>
  <c r="G154" i="8"/>
  <c r="F154" i="9" s="1"/>
  <c r="G154" i="9" s="1"/>
  <c r="I154" i="9" s="1"/>
  <c r="D154" i="10" s="1"/>
  <c r="G134" i="8"/>
  <c r="F134" i="9" s="1"/>
  <c r="G114" i="8"/>
  <c r="F114" i="9" s="1"/>
  <c r="G106" i="8"/>
  <c r="F106" i="9" s="1"/>
  <c r="G106" i="9" s="1"/>
  <c r="I106" i="9" s="1"/>
  <c r="D106" i="10" s="1"/>
  <c r="I142" i="9"/>
  <c r="D142" i="10" s="1"/>
  <c r="G109" i="3"/>
  <c r="I140" i="3"/>
  <c r="J140" i="3" s="1"/>
  <c r="E140" i="5" s="1"/>
  <c r="I149" i="3"/>
  <c r="J149" i="3" s="1"/>
  <c r="E149" i="5" s="1"/>
  <c r="G149" i="5" s="1"/>
  <c r="E149" i="10" s="1"/>
  <c r="I158" i="3"/>
  <c r="J158" i="3" s="1"/>
  <c r="E158" i="5" s="1"/>
  <c r="I164" i="3"/>
  <c r="J164" i="3" s="1"/>
  <c r="E164" i="5" s="1"/>
  <c r="G164" i="5" s="1"/>
  <c r="E164" i="10" s="1"/>
  <c r="I104" i="3"/>
  <c r="J104" i="3" s="1"/>
  <c r="E104" i="5" s="1"/>
  <c r="I113" i="3"/>
  <c r="J113" i="3" s="1"/>
  <c r="E113" i="5" s="1"/>
  <c r="I115" i="3"/>
  <c r="J115" i="3" s="1"/>
  <c r="E115" i="5" s="1"/>
  <c r="G115" i="5" s="1"/>
  <c r="E115" i="10" s="1"/>
  <c r="I129" i="3"/>
  <c r="J129" i="3" s="1"/>
  <c r="E129" i="5" s="1"/>
  <c r="G129" i="5" s="1"/>
  <c r="E129" i="10" s="1"/>
  <c r="I160" i="3"/>
  <c r="J160" i="3" s="1"/>
  <c r="E160" i="5" s="1"/>
  <c r="M90" i="7"/>
  <c r="M77" i="7"/>
  <c r="P77" i="7" s="1"/>
  <c r="H7" i="4"/>
  <c r="H12" i="4"/>
  <c r="H17" i="4"/>
  <c r="H22" i="4"/>
  <c r="H27" i="4"/>
  <c r="H32" i="4"/>
  <c r="H37" i="4"/>
  <c r="H42" i="4"/>
  <c r="H47" i="4"/>
  <c r="H52" i="4"/>
  <c r="H57" i="4"/>
  <c r="H62" i="4"/>
  <c r="H67" i="4"/>
  <c r="H72" i="4"/>
  <c r="H77" i="4"/>
  <c r="H82" i="4"/>
  <c r="H87" i="4"/>
  <c r="H92" i="4"/>
  <c r="H97" i="4"/>
  <c r="G7" i="1"/>
  <c r="G12" i="1"/>
  <c r="G17" i="1"/>
  <c r="G22" i="1"/>
  <c r="G27" i="1"/>
  <c r="G32" i="1"/>
  <c r="G37" i="1"/>
  <c r="G42" i="1"/>
  <c r="G47" i="1"/>
  <c r="G52" i="1"/>
  <c r="G57" i="1"/>
  <c r="G62" i="1"/>
  <c r="G67" i="1"/>
  <c r="G72" i="1"/>
  <c r="G77" i="1"/>
  <c r="G82" i="1"/>
  <c r="G87" i="1"/>
  <c r="G92" i="1"/>
  <c r="G97" i="1"/>
  <c r="G11" i="3"/>
  <c r="G2" i="10"/>
  <c r="F7" i="5"/>
  <c r="F12" i="5"/>
  <c r="F17" i="5"/>
  <c r="F22" i="5"/>
  <c r="F27" i="5"/>
  <c r="F32" i="5"/>
  <c r="F37" i="5"/>
  <c r="F42" i="5"/>
  <c r="F47" i="5"/>
  <c r="F52" i="5"/>
  <c r="F57" i="5"/>
  <c r="F62" i="5"/>
  <c r="F67" i="5"/>
  <c r="F72" i="5"/>
  <c r="F77" i="5"/>
  <c r="F82" i="5"/>
  <c r="F87" i="5"/>
  <c r="F92" i="5"/>
  <c r="F97" i="5"/>
  <c r="D7" i="5"/>
  <c r="D12" i="5"/>
  <c r="D17" i="5"/>
  <c r="D22" i="5"/>
  <c r="D27" i="5"/>
  <c r="D32" i="5"/>
  <c r="D37" i="5"/>
  <c r="D42" i="5"/>
  <c r="D47" i="5"/>
  <c r="D52" i="5"/>
  <c r="D57" i="5"/>
  <c r="D62" i="5"/>
  <c r="D67" i="5"/>
  <c r="D72" i="5"/>
  <c r="D77" i="5"/>
  <c r="D82" i="5"/>
  <c r="D87" i="5"/>
  <c r="D92" i="5"/>
  <c r="D97" i="5"/>
  <c r="F7" i="9"/>
  <c r="F12" i="9"/>
  <c r="F17" i="9"/>
  <c r="F22" i="9"/>
  <c r="F27" i="9"/>
  <c r="F32" i="9"/>
  <c r="F37" i="9"/>
  <c r="F42" i="9"/>
  <c r="F47" i="9"/>
  <c r="F52" i="9"/>
  <c r="F57" i="9"/>
  <c r="F62" i="9"/>
  <c r="F67" i="9"/>
  <c r="F72" i="9"/>
  <c r="F77" i="9"/>
  <c r="F82" i="9"/>
  <c r="F87" i="9"/>
  <c r="F92" i="9"/>
  <c r="F97" i="9"/>
  <c r="F2" i="9"/>
  <c r="E7" i="9"/>
  <c r="E12" i="9"/>
  <c r="E17" i="9"/>
  <c r="E22" i="9"/>
  <c r="E27" i="9"/>
  <c r="E32" i="9"/>
  <c r="E37" i="9"/>
  <c r="E42" i="9"/>
  <c r="E47" i="9"/>
  <c r="E52" i="9"/>
  <c r="E57" i="9"/>
  <c r="E62" i="9"/>
  <c r="E67" i="9"/>
  <c r="E72" i="9"/>
  <c r="E77" i="9"/>
  <c r="E82" i="9"/>
  <c r="E87" i="9"/>
  <c r="E92" i="9"/>
  <c r="E97" i="9"/>
  <c r="E2" i="9"/>
  <c r="D7" i="9"/>
  <c r="G7" i="9" s="1"/>
  <c r="D12" i="9"/>
  <c r="G12" i="9" s="1"/>
  <c r="D17" i="9"/>
  <c r="G17" i="9" s="1"/>
  <c r="D22" i="9"/>
  <c r="G22" i="9" s="1"/>
  <c r="D27" i="9"/>
  <c r="G27" i="9" s="1"/>
  <c r="D32" i="9"/>
  <c r="G32" i="9" s="1"/>
  <c r="D37" i="9"/>
  <c r="G37" i="9" s="1"/>
  <c r="D42" i="9"/>
  <c r="G42" i="9" s="1"/>
  <c r="D47" i="9"/>
  <c r="G47" i="9" s="1"/>
  <c r="D52" i="9"/>
  <c r="G52" i="9" s="1"/>
  <c r="D57" i="9"/>
  <c r="G57" i="9" s="1"/>
  <c r="D62" i="9"/>
  <c r="G62" i="9" s="1"/>
  <c r="D67" i="9"/>
  <c r="G67" i="9" s="1"/>
  <c r="D72" i="9"/>
  <c r="G72" i="9" s="1"/>
  <c r="D77" i="9"/>
  <c r="G77" i="9" s="1"/>
  <c r="D82" i="9"/>
  <c r="G82" i="9" s="1"/>
  <c r="D87" i="9"/>
  <c r="G87" i="9" s="1"/>
  <c r="D92" i="9"/>
  <c r="G92" i="9" s="1"/>
  <c r="D97" i="9"/>
  <c r="G97" i="9" s="1"/>
  <c r="D2" i="9"/>
  <c r="G2" i="9" s="1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2" i="8"/>
  <c r="D26" i="8"/>
  <c r="F26" i="8" s="1"/>
  <c r="D32" i="8"/>
  <c r="F32" i="8" s="1"/>
  <c r="D33" i="8"/>
  <c r="D34" i="8"/>
  <c r="F34" i="8" s="1"/>
  <c r="D35" i="8"/>
  <c r="F35" i="8" s="1"/>
  <c r="D36" i="8"/>
  <c r="F36" i="8" s="1"/>
  <c r="D55" i="8"/>
  <c r="D56" i="8"/>
  <c r="D64" i="8"/>
  <c r="D65" i="8"/>
  <c r="D66" i="8"/>
  <c r="D67" i="8"/>
  <c r="D68" i="8"/>
  <c r="D69" i="8"/>
  <c r="D70" i="8"/>
  <c r="D71" i="8"/>
  <c r="D97" i="8"/>
  <c r="D98" i="8"/>
  <c r="D99" i="8"/>
  <c r="D100" i="8"/>
  <c r="D101" i="8"/>
  <c r="F101" i="8" s="1"/>
  <c r="M48" i="7"/>
  <c r="K96" i="7"/>
  <c r="G96" i="7"/>
  <c r="K95" i="7"/>
  <c r="K94" i="7"/>
  <c r="G95" i="7"/>
  <c r="G94" i="7"/>
  <c r="K93" i="7"/>
  <c r="K92" i="7"/>
  <c r="G93" i="7"/>
  <c r="G92" i="7"/>
  <c r="K101" i="7"/>
  <c r="K100" i="7"/>
  <c r="M100" i="7" s="1"/>
  <c r="K99" i="7"/>
  <c r="K98" i="7"/>
  <c r="K97" i="7"/>
  <c r="K89" i="7"/>
  <c r="K88" i="7"/>
  <c r="K87" i="7"/>
  <c r="J87" i="7"/>
  <c r="M87" i="7" s="1"/>
  <c r="J88" i="7"/>
  <c r="J89" i="7"/>
  <c r="K79" i="7"/>
  <c r="M79" i="7" s="1"/>
  <c r="K80" i="7"/>
  <c r="M80" i="7" s="1"/>
  <c r="K81" i="7"/>
  <c r="M81" i="7" s="1"/>
  <c r="K78" i="7"/>
  <c r="M78" i="7" s="1"/>
  <c r="K75" i="7"/>
  <c r="K73" i="7"/>
  <c r="K72" i="7"/>
  <c r="G72" i="7"/>
  <c r="F73" i="7"/>
  <c r="D73" i="8" s="1"/>
  <c r="F72" i="7"/>
  <c r="K71" i="7"/>
  <c r="K70" i="7"/>
  <c r="G67" i="7"/>
  <c r="K69" i="7"/>
  <c r="K68" i="7"/>
  <c r="K67" i="7"/>
  <c r="K66" i="7"/>
  <c r="K65" i="7"/>
  <c r="K64" i="7"/>
  <c r="K63" i="7"/>
  <c r="K62" i="7"/>
  <c r="K61" i="7"/>
  <c r="K59" i="7"/>
  <c r="K58" i="7"/>
  <c r="K57" i="7"/>
  <c r="K55" i="7"/>
  <c r="K56" i="7"/>
  <c r="K54" i="7"/>
  <c r="K53" i="7"/>
  <c r="K52" i="7"/>
  <c r="G51" i="7"/>
  <c r="K50" i="7"/>
  <c r="K51" i="7"/>
  <c r="G50" i="7"/>
  <c r="G49" i="7"/>
  <c r="G48" i="7"/>
  <c r="G47" i="7"/>
  <c r="K48" i="7"/>
  <c r="K47" i="7"/>
  <c r="G46" i="7"/>
  <c r="K46" i="7"/>
  <c r="F46" i="7"/>
  <c r="D46" i="8" s="1"/>
  <c r="G45" i="7"/>
  <c r="G44" i="7"/>
  <c r="H44" i="7" s="1"/>
  <c r="L44" i="7" s="1"/>
  <c r="K45" i="7"/>
  <c r="K44" i="7"/>
  <c r="K43" i="7"/>
  <c r="F45" i="7"/>
  <c r="D45" i="8" s="1"/>
  <c r="F44" i="7"/>
  <c r="D44" i="8" s="1"/>
  <c r="K42" i="7"/>
  <c r="G43" i="7"/>
  <c r="H43" i="7" s="1"/>
  <c r="L43" i="7" s="1"/>
  <c r="G42" i="7"/>
  <c r="F43" i="7"/>
  <c r="D43" i="8" s="1"/>
  <c r="F42" i="7"/>
  <c r="D42" i="8" s="1"/>
  <c r="G41" i="7"/>
  <c r="G40" i="7"/>
  <c r="G39" i="7"/>
  <c r="G38" i="7"/>
  <c r="G37" i="7"/>
  <c r="H37" i="7" s="1"/>
  <c r="L37" i="7" s="1"/>
  <c r="K41" i="7"/>
  <c r="K40" i="7"/>
  <c r="K39" i="7"/>
  <c r="F41" i="7"/>
  <c r="F40" i="7"/>
  <c r="D40" i="8" s="1"/>
  <c r="F39" i="7"/>
  <c r="H39" i="7" s="1"/>
  <c r="L39" i="7" s="1"/>
  <c r="K37" i="7"/>
  <c r="K38" i="7"/>
  <c r="F38" i="7"/>
  <c r="D38" i="8" s="1"/>
  <c r="F38" i="8" s="1"/>
  <c r="F37" i="7"/>
  <c r="D37" i="8" s="1"/>
  <c r="K36" i="7"/>
  <c r="K35" i="7"/>
  <c r="K34" i="7"/>
  <c r="K33" i="7"/>
  <c r="K32" i="7"/>
  <c r="F31" i="7"/>
  <c r="D31" i="8" s="1"/>
  <c r="F30" i="7"/>
  <c r="F29" i="7"/>
  <c r="D29" i="8" s="1"/>
  <c r="F28" i="7"/>
  <c r="D28" i="8" s="1"/>
  <c r="F27" i="7"/>
  <c r="D27" i="8" s="1"/>
  <c r="K31" i="7"/>
  <c r="K30" i="7"/>
  <c r="K29" i="7"/>
  <c r="K28" i="7"/>
  <c r="K27" i="7"/>
  <c r="K26" i="7"/>
  <c r="K25" i="7"/>
  <c r="K24" i="7"/>
  <c r="K23" i="7"/>
  <c r="K22" i="7"/>
  <c r="J22" i="7"/>
  <c r="G26" i="7"/>
  <c r="H26" i="7" s="1"/>
  <c r="L26" i="7" s="1"/>
  <c r="G25" i="7"/>
  <c r="G24" i="7"/>
  <c r="G23" i="7"/>
  <c r="G22" i="7"/>
  <c r="K21" i="7"/>
  <c r="K20" i="7"/>
  <c r="K19" i="7"/>
  <c r="K18" i="7"/>
  <c r="K17" i="7"/>
  <c r="G21" i="7"/>
  <c r="G20" i="7"/>
  <c r="G19" i="7"/>
  <c r="F21" i="7"/>
  <c r="D21" i="8" s="1"/>
  <c r="F20" i="7"/>
  <c r="D20" i="8" s="1"/>
  <c r="F19" i="7"/>
  <c r="D19" i="8" s="1"/>
  <c r="G18" i="7"/>
  <c r="G17" i="7"/>
  <c r="F18" i="7"/>
  <c r="D18" i="8" s="1"/>
  <c r="F17" i="7"/>
  <c r="K16" i="7"/>
  <c r="K15" i="7"/>
  <c r="M15" i="7" s="1"/>
  <c r="K14" i="7"/>
  <c r="K13" i="7"/>
  <c r="K12" i="7"/>
  <c r="F16" i="7"/>
  <c r="D16" i="8" s="1"/>
  <c r="F15" i="7"/>
  <c r="H15" i="7" s="1"/>
  <c r="L15" i="7" s="1"/>
  <c r="F14" i="7"/>
  <c r="D14" i="8" s="1"/>
  <c r="F13" i="7"/>
  <c r="F12" i="7"/>
  <c r="H29" i="7"/>
  <c r="L29" i="7" s="1"/>
  <c r="H32" i="7"/>
  <c r="L32" i="7" s="1"/>
  <c r="H33" i="7"/>
  <c r="L33" i="7" s="1"/>
  <c r="H34" i="7"/>
  <c r="L34" i="7" s="1"/>
  <c r="H35" i="7"/>
  <c r="L35" i="7" s="1"/>
  <c r="H36" i="7"/>
  <c r="L36" i="7" s="1"/>
  <c r="H55" i="7"/>
  <c r="L55" i="7" s="1"/>
  <c r="H56" i="7"/>
  <c r="L56" i="7" s="1"/>
  <c r="H64" i="7"/>
  <c r="L64" i="7" s="1"/>
  <c r="H65" i="7"/>
  <c r="L65" i="7" s="1"/>
  <c r="H66" i="7"/>
  <c r="L66" i="7" s="1"/>
  <c r="H67" i="7"/>
  <c r="L67" i="7" s="1"/>
  <c r="H69" i="7"/>
  <c r="L69" i="7" s="1"/>
  <c r="H70" i="7"/>
  <c r="L70" i="7" s="1"/>
  <c r="H71" i="7"/>
  <c r="L71" i="7" s="1"/>
  <c r="H73" i="7"/>
  <c r="L73" i="7" s="1"/>
  <c r="H97" i="7"/>
  <c r="L97" i="7" s="1"/>
  <c r="H98" i="7"/>
  <c r="L98" i="7" s="1"/>
  <c r="H99" i="7"/>
  <c r="L99" i="7" s="1"/>
  <c r="H100" i="7"/>
  <c r="L100" i="7" s="1"/>
  <c r="H101" i="7"/>
  <c r="L101" i="7" s="1"/>
  <c r="J101" i="7"/>
  <c r="J100" i="7"/>
  <c r="J99" i="7"/>
  <c r="J98" i="7"/>
  <c r="M98" i="7" s="1"/>
  <c r="J97" i="7"/>
  <c r="J96" i="7"/>
  <c r="J95" i="7"/>
  <c r="M95" i="7" s="1"/>
  <c r="J94" i="7"/>
  <c r="J93" i="7"/>
  <c r="J92" i="7"/>
  <c r="M91" i="7"/>
  <c r="J86" i="7"/>
  <c r="M86" i="7" s="1"/>
  <c r="J85" i="7"/>
  <c r="M85" i="7" s="1"/>
  <c r="J84" i="7"/>
  <c r="M84" i="7" s="1"/>
  <c r="J83" i="7"/>
  <c r="M83" i="7" s="1"/>
  <c r="J82" i="7"/>
  <c r="M82" i="7" s="1"/>
  <c r="J76" i="7"/>
  <c r="M76" i="7" s="1"/>
  <c r="J75" i="7"/>
  <c r="M75" i="7" s="1"/>
  <c r="J74" i="7"/>
  <c r="M74" i="7" s="1"/>
  <c r="J73" i="7"/>
  <c r="J72" i="7"/>
  <c r="M72" i="7" s="1"/>
  <c r="J71" i="7"/>
  <c r="J70" i="7"/>
  <c r="J69" i="7"/>
  <c r="J68" i="7"/>
  <c r="J67" i="7"/>
  <c r="J66" i="7"/>
  <c r="M66" i="7" s="1"/>
  <c r="J65" i="7"/>
  <c r="J64" i="7"/>
  <c r="J63" i="7"/>
  <c r="J62" i="7"/>
  <c r="M62" i="7" s="1"/>
  <c r="J61" i="7"/>
  <c r="J59" i="7"/>
  <c r="J58" i="7"/>
  <c r="J57" i="7"/>
  <c r="M57" i="7" s="1"/>
  <c r="J56" i="7"/>
  <c r="M56" i="7" s="1"/>
  <c r="J55" i="7"/>
  <c r="J54" i="7"/>
  <c r="J53" i="7"/>
  <c r="M53" i="7" s="1"/>
  <c r="J52" i="7"/>
  <c r="J51" i="7"/>
  <c r="M51" i="7" s="1"/>
  <c r="J50" i="7"/>
  <c r="M49" i="7"/>
  <c r="J48" i="7"/>
  <c r="J47" i="7"/>
  <c r="J46" i="7"/>
  <c r="M46" i="7" s="1"/>
  <c r="J45" i="7"/>
  <c r="M45" i="7" s="1"/>
  <c r="J44" i="7"/>
  <c r="J43" i="7"/>
  <c r="M43" i="7" s="1"/>
  <c r="J42" i="7"/>
  <c r="M42" i="7" s="1"/>
  <c r="J41" i="7"/>
  <c r="J40" i="7"/>
  <c r="J39" i="7"/>
  <c r="J38" i="7"/>
  <c r="J37" i="7"/>
  <c r="M37" i="7" s="1"/>
  <c r="J36" i="7"/>
  <c r="M36" i="7" s="1"/>
  <c r="J35" i="7"/>
  <c r="J34" i="7"/>
  <c r="J33" i="7"/>
  <c r="M33" i="7" s="1"/>
  <c r="J32" i="7"/>
  <c r="M32" i="7" s="1"/>
  <c r="J31" i="7"/>
  <c r="J30" i="7"/>
  <c r="J29" i="7"/>
  <c r="J28" i="7"/>
  <c r="J27" i="7"/>
  <c r="J26" i="7"/>
  <c r="J25" i="7"/>
  <c r="J24" i="7"/>
  <c r="J23" i="7"/>
  <c r="J21" i="7"/>
  <c r="J20" i="7"/>
  <c r="M20" i="7" s="1"/>
  <c r="J19" i="7"/>
  <c r="J18" i="7"/>
  <c r="M18" i="7" s="1"/>
  <c r="J17" i="7"/>
  <c r="J16" i="7"/>
  <c r="J15" i="7"/>
  <c r="J14" i="7"/>
  <c r="J13" i="7"/>
  <c r="M13" i="7" s="1"/>
  <c r="J12" i="7"/>
  <c r="J11" i="7"/>
  <c r="M11" i="7" s="1"/>
  <c r="J10" i="7"/>
  <c r="M10" i="7" s="1"/>
  <c r="J9" i="7"/>
  <c r="M9" i="7" s="1"/>
  <c r="J8" i="7"/>
  <c r="M8" i="7" s="1"/>
  <c r="J7" i="7"/>
  <c r="M7" i="7" s="1"/>
  <c r="J6" i="7"/>
  <c r="M6" i="7" s="1"/>
  <c r="J5" i="7"/>
  <c r="M5" i="7" s="1"/>
  <c r="J4" i="7"/>
  <c r="M4" i="7" s="1"/>
  <c r="J3" i="7"/>
  <c r="M3" i="7" s="1"/>
  <c r="J2" i="7"/>
  <c r="M2" i="7" s="1"/>
  <c r="E7" i="6"/>
  <c r="E2" i="6"/>
  <c r="F96" i="7"/>
  <c r="D96" i="8" s="1"/>
  <c r="F95" i="7"/>
  <c r="H95" i="7" s="1"/>
  <c r="L95" i="7" s="1"/>
  <c r="F94" i="7"/>
  <c r="D94" i="8" s="1"/>
  <c r="F93" i="7"/>
  <c r="D93" i="8" s="1"/>
  <c r="F92" i="7"/>
  <c r="D92" i="8" s="1"/>
  <c r="F91" i="7"/>
  <c r="H91" i="7" s="1"/>
  <c r="L91" i="7" s="1"/>
  <c r="F90" i="7"/>
  <c r="D90" i="8" s="1"/>
  <c r="F89" i="7"/>
  <c r="D89" i="8" s="1"/>
  <c r="F88" i="7"/>
  <c r="D88" i="8" s="1"/>
  <c r="F87" i="7"/>
  <c r="H87" i="7" s="1"/>
  <c r="L87" i="7" s="1"/>
  <c r="F86" i="7"/>
  <c r="D86" i="8" s="1"/>
  <c r="F85" i="7"/>
  <c r="D85" i="8" s="1"/>
  <c r="F84" i="7"/>
  <c r="D84" i="8" s="1"/>
  <c r="F83" i="7"/>
  <c r="H83" i="7" s="1"/>
  <c r="L83" i="7" s="1"/>
  <c r="F82" i="7"/>
  <c r="D82" i="8" s="1"/>
  <c r="F81" i="7"/>
  <c r="D81" i="8" s="1"/>
  <c r="F80" i="7"/>
  <c r="D80" i="8" s="1"/>
  <c r="F79" i="7"/>
  <c r="H79" i="7" s="1"/>
  <c r="L79" i="7" s="1"/>
  <c r="F78" i="7"/>
  <c r="D78" i="8" s="1"/>
  <c r="F77" i="7"/>
  <c r="D77" i="8" s="1"/>
  <c r="F76" i="7"/>
  <c r="D76" i="8" s="1"/>
  <c r="F75" i="7"/>
  <c r="H75" i="7" s="1"/>
  <c r="L75" i="7" s="1"/>
  <c r="N75" i="7" s="1"/>
  <c r="F74" i="7"/>
  <c r="D74" i="8" s="1"/>
  <c r="F63" i="7"/>
  <c r="H63" i="7" s="1"/>
  <c r="L63" i="7" s="1"/>
  <c r="F62" i="7"/>
  <c r="F61" i="7"/>
  <c r="D61" i="8" s="1"/>
  <c r="F60" i="7"/>
  <c r="D60" i="8" s="1"/>
  <c r="F60" i="8" s="1"/>
  <c r="F59" i="7"/>
  <c r="D59" i="8" s="1"/>
  <c r="F58" i="7"/>
  <c r="F57" i="7"/>
  <c r="D57" i="8" s="1"/>
  <c r="F54" i="7"/>
  <c r="F53" i="7"/>
  <c r="D53" i="8" s="1"/>
  <c r="F52" i="7"/>
  <c r="D52" i="8" s="1"/>
  <c r="F51" i="7"/>
  <c r="D51" i="8" s="1"/>
  <c r="F51" i="8" s="1"/>
  <c r="F50" i="7"/>
  <c r="F49" i="7"/>
  <c r="D49" i="8" s="1"/>
  <c r="F48" i="7"/>
  <c r="D48" i="8" s="1"/>
  <c r="F47" i="7"/>
  <c r="D47" i="8" s="1"/>
  <c r="F47" i="8" s="1"/>
  <c r="F25" i="7"/>
  <c r="F24" i="7"/>
  <c r="D24" i="8" s="1"/>
  <c r="F23" i="7"/>
  <c r="D23" i="8" s="1"/>
  <c r="F22" i="7"/>
  <c r="D22" i="8" s="1"/>
  <c r="F22" i="8" s="1"/>
  <c r="F11" i="7"/>
  <c r="D11" i="8" s="1"/>
  <c r="F10" i="7"/>
  <c r="D10" i="8" s="1"/>
  <c r="F9" i="7"/>
  <c r="D9" i="8" s="1"/>
  <c r="F8" i="7"/>
  <c r="D8" i="8" s="1"/>
  <c r="F7" i="7"/>
  <c r="D7" i="8" s="1"/>
  <c r="F6" i="7"/>
  <c r="D6" i="8" s="1"/>
  <c r="F5" i="7"/>
  <c r="D5" i="8" s="1"/>
  <c r="F4" i="7"/>
  <c r="D4" i="8" s="1"/>
  <c r="F3" i="7"/>
  <c r="D3" i="8" s="1"/>
  <c r="F2" i="7"/>
  <c r="D2" i="8" s="1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6" i="6"/>
  <c r="E5" i="6"/>
  <c r="E4" i="6"/>
  <c r="E3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82" i="6"/>
  <c r="E85" i="6"/>
  <c r="E86" i="6"/>
  <c r="E83" i="6"/>
  <c r="E84" i="6"/>
  <c r="E87" i="6"/>
  <c r="E91" i="6"/>
  <c r="E90" i="6"/>
  <c r="E89" i="6"/>
  <c r="E88" i="6"/>
  <c r="E92" i="6"/>
  <c r="E93" i="6"/>
  <c r="E94" i="6"/>
  <c r="E95" i="6"/>
  <c r="E96" i="6"/>
  <c r="E97" i="6"/>
  <c r="E98" i="6"/>
  <c r="E99" i="6"/>
  <c r="E100" i="6"/>
  <c r="E101" i="6"/>
  <c r="D75" i="6"/>
  <c r="F117" i="10" l="1"/>
  <c r="G117" i="10" s="1"/>
  <c r="F136" i="10"/>
  <c r="G136" i="10" s="1"/>
  <c r="F127" i="10"/>
  <c r="G127" i="10" s="1"/>
  <c r="G110" i="9"/>
  <c r="I110" i="9" s="1"/>
  <c r="D110" i="10" s="1"/>
  <c r="G108" i="9"/>
  <c r="I108" i="9" s="1"/>
  <c r="D108" i="10" s="1"/>
  <c r="G120" i="9"/>
  <c r="I120" i="9" s="1"/>
  <c r="D120" i="10" s="1"/>
  <c r="F120" i="10" s="1"/>
  <c r="G120" i="10" s="1"/>
  <c r="G104" i="9"/>
  <c r="I104" i="9" s="1"/>
  <c r="D104" i="10" s="1"/>
  <c r="F28" i="8"/>
  <c r="F20" i="8"/>
  <c r="G20" i="8" s="1"/>
  <c r="F20" i="9" s="1"/>
  <c r="F44" i="8"/>
  <c r="F56" i="8"/>
  <c r="G149" i="9"/>
  <c r="I149" i="9" s="1"/>
  <c r="D149" i="10" s="1"/>
  <c r="F149" i="10" s="1"/>
  <c r="G149" i="10" s="1"/>
  <c r="G128" i="9"/>
  <c r="I128" i="9" s="1"/>
  <c r="D128" i="10" s="1"/>
  <c r="G113" i="9"/>
  <c r="I113" i="9" s="1"/>
  <c r="D113" i="10" s="1"/>
  <c r="F8" i="8"/>
  <c r="F16" i="8"/>
  <c r="F122" i="10"/>
  <c r="G122" i="10" s="1"/>
  <c r="G116" i="9"/>
  <c r="I116" i="9" s="1"/>
  <c r="D116" i="10" s="1"/>
  <c r="G161" i="9"/>
  <c r="I161" i="9" s="1"/>
  <c r="D161" i="10" s="1"/>
  <c r="F161" i="10" s="1"/>
  <c r="G161" i="10" s="1"/>
  <c r="N32" i="7"/>
  <c r="F102" i="10"/>
  <c r="G102" i="10" s="1"/>
  <c r="F23" i="8"/>
  <c r="F27" i="8"/>
  <c r="N43" i="7"/>
  <c r="M68" i="7"/>
  <c r="N68" i="7" s="1"/>
  <c r="F71" i="8"/>
  <c r="O134" i="7"/>
  <c r="E134" i="9" s="1"/>
  <c r="G134" i="9" s="1"/>
  <c r="I134" i="9" s="1"/>
  <c r="D134" i="10" s="1"/>
  <c r="F2" i="8"/>
  <c r="F6" i="8"/>
  <c r="G6" i="8" s="1"/>
  <c r="F6" i="9" s="1"/>
  <c r="F10" i="8"/>
  <c r="F59" i="8"/>
  <c r="M12" i="7"/>
  <c r="M16" i="7"/>
  <c r="M41" i="7"/>
  <c r="M70" i="7"/>
  <c r="N70" i="7" s="1"/>
  <c r="M99" i="7"/>
  <c r="H92" i="7"/>
  <c r="L92" i="7" s="1"/>
  <c r="H40" i="7"/>
  <c r="L40" i="7" s="1"/>
  <c r="F14" i="8"/>
  <c r="F19" i="8"/>
  <c r="H38" i="7"/>
  <c r="L38" i="7" s="1"/>
  <c r="F42" i="8"/>
  <c r="M44" i="7"/>
  <c r="F46" i="8"/>
  <c r="G46" i="8" s="1"/>
  <c r="F46" i="9" s="1"/>
  <c r="M52" i="7"/>
  <c r="F98" i="8"/>
  <c r="F70" i="8"/>
  <c r="F66" i="8"/>
  <c r="F55" i="8"/>
  <c r="G55" i="8" s="1"/>
  <c r="F55" i="9" s="1"/>
  <c r="F69" i="8"/>
  <c r="F53" i="8"/>
  <c r="O169" i="7"/>
  <c r="E169" i="9" s="1"/>
  <c r="O160" i="7"/>
  <c r="E160" i="9" s="1"/>
  <c r="G160" i="9"/>
  <c r="I160" i="9" s="1"/>
  <c r="D160" i="10" s="1"/>
  <c r="F160" i="10" s="1"/>
  <c r="G160" i="10" s="1"/>
  <c r="O141" i="7"/>
  <c r="E141" i="9" s="1"/>
  <c r="G141" i="9" s="1"/>
  <c r="I141" i="9" s="1"/>
  <c r="D141" i="10" s="1"/>
  <c r="F141" i="10" s="1"/>
  <c r="G141" i="10" s="1"/>
  <c r="N79" i="7"/>
  <c r="D87" i="8"/>
  <c r="F87" i="8" s="1"/>
  <c r="F31" i="8"/>
  <c r="H45" i="7"/>
  <c r="L45" i="7" s="1"/>
  <c r="N45" i="7" s="1"/>
  <c r="M64" i="7"/>
  <c r="F99" i="8"/>
  <c r="G99" i="8" s="1"/>
  <c r="F99" i="9" s="1"/>
  <c r="F67" i="8"/>
  <c r="G114" i="9"/>
  <c r="I114" i="9" s="1"/>
  <c r="D114" i="10" s="1"/>
  <c r="F114" i="10" s="1"/>
  <c r="G114" i="10" s="1"/>
  <c r="G129" i="9"/>
  <c r="I129" i="9" s="1"/>
  <c r="D129" i="10" s="1"/>
  <c r="F129" i="10" s="1"/>
  <c r="G129" i="10" s="1"/>
  <c r="F171" i="10"/>
  <c r="G171" i="10" s="1"/>
  <c r="F3" i="8"/>
  <c r="F7" i="8"/>
  <c r="G8" i="8" s="1"/>
  <c r="F8" i="9" s="1"/>
  <c r="F11" i="8"/>
  <c r="F74" i="8"/>
  <c r="F78" i="8"/>
  <c r="F82" i="8"/>
  <c r="F86" i="8"/>
  <c r="F90" i="8"/>
  <c r="F94" i="8"/>
  <c r="M17" i="7"/>
  <c r="M21" i="7"/>
  <c r="M34" i="7"/>
  <c r="M50" i="7"/>
  <c r="M54" i="7"/>
  <c r="M58" i="7"/>
  <c r="M63" i="7"/>
  <c r="M67" i="7"/>
  <c r="N67" i="7" s="1"/>
  <c r="O68" i="7" s="1"/>
  <c r="E68" i="9" s="1"/>
  <c r="M92" i="7"/>
  <c r="N92" i="7" s="1"/>
  <c r="H10" i="7"/>
  <c r="L10" i="7" s="1"/>
  <c r="N10" i="7" s="1"/>
  <c r="N15" i="7"/>
  <c r="F18" i="8"/>
  <c r="H21" i="7"/>
  <c r="L21" i="7" s="1"/>
  <c r="N21" i="7" s="1"/>
  <c r="O21" i="7" s="1"/>
  <c r="E21" i="9" s="1"/>
  <c r="F43" i="8"/>
  <c r="G43" i="8" s="1"/>
  <c r="F43" i="9" s="1"/>
  <c r="F157" i="10"/>
  <c r="G157" i="10" s="1"/>
  <c r="G103" i="9"/>
  <c r="I103" i="9" s="1"/>
  <c r="D103" i="10" s="1"/>
  <c r="F103" i="10" s="1"/>
  <c r="G103" i="10" s="1"/>
  <c r="G169" i="9"/>
  <c r="I169" i="9" s="1"/>
  <c r="D169" i="10" s="1"/>
  <c r="F142" i="10"/>
  <c r="G142" i="10" s="1"/>
  <c r="F123" i="10"/>
  <c r="G123" i="10" s="1"/>
  <c r="G135" i="5"/>
  <c r="E135" i="10" s="1"/>
  <c r="F135" i="10" s="1"/>
  <c r="G135" i="10" s="1"/>
  <c r="G118" i="5"/>
  <c r="E118" i="10" s="1"/>
  <c r="F118" i="10" s="1"/>
  <c r="G118" i="10" s="1"/>
  <c r="G160" i="5"/>
  <c r="E160" i="10" s="1"/>
  <c r="G104" i="5"/>
  <c r="E104" i="10" s="1"/>
  <c r="G140" i="5"/>
  <c r="E140" i="10" s="1"/>
  <c r="F140" i="10" s="1"/>
  <c r="G140" i="10" s="1"/>
  <c r="G116" i="5"/>
  <c r="E116" i="10" s="1"/>
  <c r="G111" i="5"/>
  <c r="E111" i="10" s="1"/>
  <c r="F111" i="10" s="1"/>
  <c r="G111" i="10" s="1"/>
  <c r="F167" i="10"/>
  <c r="G167" i="10" s="1"/>
  <c r="F146" i="10"/>
  <c r="G146" i="10" s="1"/>
  <c r="G126" i="5"/>
  <c r="E126" i="10" s="1"/>
  <c r="F126" i="10" s="1"/>
  <c r="G126" i="10" s="1"/>
  <c r="G170" i="5"/>
  <c r="E170" i="10" s="1"/>
  <c r="F139" i="10"/>
  <c r="G139" i="10" s="1"/>
  <c r="J163" i="3"/>
  <c r="E163" i="5" s="1"/>
  <c r="G163" i="5" s="1"/>
  <c r="E163" i="10" s="1"/>
  <c r="F163" i="10" s="1"/>
  <c r="G163" i="10" s="1"/>
  <c r="F132" i="10"/>
  <c r="G132" i="10" s="1"/>
  <c r="G121" i="5"/>
  <c r="E121" i="10" s="1"/>
  <c r="F156" i="10"/>
  <c r="G156" i="10" s="1"/>
  <c r="F133" i="10"/>
  <c r="G133" i="10" s="1"/>
  <c r="G138" i="5"/>
  <c r="E138" i="10" s="1"/>
  <c r="F138" i="10" s="1"/>
  <c r="G138" i="10" s="1"/>
  <c r="G143" i="5"/>
  <c r="E143" i="10" s="1"/>
  <c r="F143" i="10" s="1"/>
  <c r="G143" i="10" s="1"/>
  <c r="J134" i="3"/>
  <c r="E134" i="5" s="1"/>
  <c r="G134" i="5" s="1"/>
  <c r="E134" i="10" s="1"/>
  <c r="F175" i="10"/>
  <c r="G175" i="10" s="1"/>
  <c r="F170" i="10"/>
  <c r="G170" i="10" s="1"/>
  <c r="F137" i="10"/>
  <c r="G137" i="10" s="1"/>
  <c r="J119" i="3"/>
  <c r="E119" i="5" s="1"/>
  <c r="G119" i="5" s="1"/>
  <c r="E119" i="10" s="1"/>
  <c r="F119" i="10" s="1"/>
  <c r="G119" i="10" s="1"/>
  <c r="G168" i="5"/>
  <c r="E168" i="10" s="1"/>
  <c r="F168" i="10" s="1"/>
  <c r="G168" i="10" s="1"/>
  <c r="G166" i="5"/>
  <c r="E166" i="10" s="1"/>
  <c r="F166" i="10" s="1"/>
  <c r="G166" i="10" s="1"/>
  <c r="G110" i="5"/>
  <c r="E110" i="10" s="1"/>
  <c r="N36" i="7"/>
  <c r="F57" i="8"/>
  <c r="M30" i="7"/>
  <c r="M38" i="7"/>
  <c r="M71" i="7"/>
  <c r="N71" i="7" s="1"/>
  <c r="F97" i="8"/>
  <c r="G98" i="8" s="1"/>
  <c r="F98" i="9" s="1"/>
  <c r="J176" i="3"/>
  <c r="E176" i="5" s="1"/>
  <c r="G176" i="5" s="1"/>
  <c r="E176" i="10" s="1"/>
  <c r="G169" i="5"/>
  <c r="E169" i="10" s="1"/>
  <c r="F5" i="8"/>
  <c r="G5" i="8" s="1"/>
  <c r="F5" i="9" s="1"/>
  <c r="F9" i="8"/>
  <c r="G9" i="8" s="1"/>
  <c r="F9" i="9" s="1"/>
  <c r="G23" i="8"/>
  <c r="F23" i="9" s="1"/>
  <c r="F48" i="8"/>
  <c r="G48" i="8" s="1"/>
  <c r="F48" i="9" s="1"/>
  <c r="F52" i="8"/>
  <c r="F76" i="8"/>
  <c r="F80" i="8"/>
  <c r="F84" i="8"/>
  <c r="F88" i="8"/>
  <c r="F92" i="8"/>
  <c r="F96" i="8"/>
  <c r="M14" i="7"/>
  <c r="M23" i="7"/>
  <c r="M27" i="7"/>
  <c r="M31" i="7"/>
  <c r="M35" i="7"/>
  <c r="M39" i="7"/>
  <c r="N39" i="7" s="1"/>
  <c r="M47" i="7"/>
  <c r="M55" i="7"/>
  <c r="N55" i="7" s="1"/>
  <c r="M59" i="7"/>
  <c r="M93" i="7"/>
  <c r="M97" i="7"/>
  <c r="M101" i="7"/>
  <c r="N101" i="7" s="1"/>
  <c r="O101" i="7" s="1"/>
  <c r="E101" i="9" s="1"/>
  <c r="H81" i="7"/>
  <c r="L81" i="7" s="1"/>
  <c r="N81" i="7" s="1"/>
  <c r="O81" i="7" s="1"/>
  <c r="H57" i="7"/>
  <c r="L57" i="7" s="1"/>
  <c r="H47" i="7"/>
  <c r="L47" i="7" s="1"/>
  <c r="H31" i="7"/>
  <c r="L31" i="7" s="1"/>
  <c r="H16" i="7"/>
  <c r="L16" i="7" s="1"/>
  <c r="N16" i="7" s="1"/>
  <c r="O16" i="7" s="1"/>
  <c r="E16" i="9" s="1"/>
  <c r="M24" i="7"/>
  <c r="M28" i="7"/>
  <c r="H28" i="7"/>
  <c r="L28" i="7" s="1"/>
  <c r="F29" i="8"/>
  <c r="G29" i="8" s="1"/>
  <c r="F29" i="9" s="1"/>
  <c r="F37" i="8"/>
  <c r="G38" i="8" s="1"/>
  <c r="F38" i="9" s="1"/>
  <c r="M40" i="7"/>
  <c r="F73" i="8"/>
  <c r="F100" i="8"/>
  <c r="G101" i="8" s="1"/>
  <c r="F101" i="9" s="1"/>
  <c r="D95" i="8"/>
  <c r="F95" i="8" s="1"/>
  <c r="D79" i="8"/>
  <c r="F79" i="8" s="1"/>
  <c r="F65" i="8"/>
  <c r="G66" i="8" s="1"/>
  <c r="F66" i="9" s="1"/>
  <c r="D15" i="8"/>
  <c r="F15" i="8" s="1"/>
  <c r="J109" i="3"/>
  <c r="E109" i="5" s="1"/>
  <c r="G109" i="5" s="1"/>
  <c r="E109" i="10" s="1"/>
  <c r="F109" i="10" s="1"/>
  <c r="G109" i="10" s="1"/>
  <c r="J159" i="3"/>
  <c r="E159" i="5" s="1"/>
  <c r="G159" i="5" s="1"/>
  <c r="E159" i="10" s="1"/>
  <c r="F159" i="10" s="1"/>
  <c r="G159" i="10" s="1"/>
  <c r="J108" i="3"/>
  <c r="E108" i="5" s="1"/>
  <c r="G108" i="5" s="1"/>
  <c r="E108" i="10" s="1"/>
  <c r="F108" i="10" s="1"/>
  <c r="G108" i="10" s="1"/>
  <c r="G165" i="5"/>
  <c r="E165" i="10" s="1"/>
  <c r="F165" i="10" s="1"/>
  <c r="G165" i="10" s="1"/>
  <c r="G150" i="5"/>
  <c r="E150" i="10" s="1"/>
  <c r="F150" i="10" s="1"/>
  <c r="G150" i="10" s="1"/>
  <c r="G130" i="5"/>
  <c r="E130" i="10" s="1"/>
  <c r="F130" i="10" s="1"/>
  <c r="G130" i="10" s="1"/>
  <c r="G145" i="9"/>
  <c r="I145" i="9" s="1"/>
  <c r="D145" i="10" s="1"/>
  <c r="F145" i="10" s="1"/>
  <c r="G145" i="10" s="1"/>
  <c r="H7" i="7"/>
  <c r="L7" i="7" s="1"/>
  <c r="N7" i="7" s="1"/>
  <c r="N100" i="7"/>
  <c r="N64" i="7"/>
  <c r="N44" i="7"/>
  <c r="O44" i="7" s="1"/>
  <c r="E44" i="9" s="1"/>
  <c r="F61" i="8"/>
  <c r="G61" i="8" s="1"/>
  <c r="F61" i="9" s="1"/>
  <c r="N83" i="7"/>
  <c r="N87" i="7"/>
  <c r="N91" i="7"/>
  <c r="N95" i="7"/>
  <c r="M26" i="7"/>
  <c r="H86" i="7"/>
  <c r="L86" i="7" s="1"/>
  <c r="N86" i="7" s="1"/>
  <c r="O86" i="7" s="1"/>
  <c r="E86" i="9" s="1"/>
  <c r="H61" i="7"/>
  <c r="L61" i="7" s="1"/>
  <c r="N61" i="7" s="1"/>
  <c r="H51" i="7"/>
  <c r="L51" i="7" s="1"/>
  <c r="N51" i="7" s="1"/>
  <c r="H22" i="7"/>
  <c r="L22" i="7" s="1"/>
  <c r="F21" i="8"/>
  <c r="G21" i="8" s="1"/>
  <c r="F21" i="9" s="1"/>
  <c r="D83" i="8"/>
  <c r="F83" i="8" s="1"/>
  <c r="G83" i="8" s="1"/>
  <c r="F83" i="9" s="1"/>
  <c r="G154" i="5"/>
  <c r="E154" i="10" s="1"/>
  <c r="F154" i="10" s="1"/>
  <c r="G154" i="10" s="1"/>
  <c r="F24" i="8"/>
  <c r="G24" i="8" s="1"/>
  <c r="F24" i="9" s="1"/>
  <c r="F49" i="8"/>
  <c r="F77" i="8"/>
  <c r="G78" i="8" s="1"/>
  <c r="F78" i="9" s="1"/>
  <c r="F81" i="8"/>
  <c r="F85" i="8"/>
  <c r="F89" i="8"/>
  <c r="G89" i="8" s="1"/>
  <c r="F89" i="9" s="1"/>
  <c r="F93" i="8"/>
  <c r="G93" i="8" s="1"/>
  <c r="F93" i="9" s="1"/>
  <c r="M61" i="7"/>
  <c r="M65" i="7"/>
  <c r="N65" i="7" s="1"/>
  <c r="O65" i="7" s="1"/>
  <c r="E65" i="9" s="1"/>
  <c r="M69" i="7"/>
  <c r="N69" i="7" s="1"/>
  <c r="O69" i="7" s="1"/>
  <c r="E69" i="9" s="1"/>
  <c r="M73" i="7"/>
  <c r="N73" i="7" s="1"/>
  <c r="O73" i="7" s="1"/>
  <c r="E73" i="9" s="1"/>
  <c r="M94" i="7"/>
  <c r="N97" i="7"/>
  <c r="H76" i="7"/>
  <c r="L76" i="7" s="1"/>
  <c r="N76" i="7" s="1"/>
  <c r="O76" i="7" s="1"/>
  <c r="E76" i="9" s="1"/>
  <c r="N56" i="7"/>
  <c r="H20" i="7"/>
  <c r="L20" i="7" s="1"/>
  <c r="N20" i="7" s="1"/>
  <c r="M19" i="7"/>
  <c r="M22" i="7"/>
  <c r="H27" i="7"/>
  <c r="L27" i="7" s="1"/>
  <c r="F40" i="8"/>
  <c r="F45" i="8"/>
  <c r="G45" i="8" s="1"/>
  <c r="F45" i="9" s="1"/>
  <c r="H46" i="7"/>
  <c r="L46" i="7" s="1"/>
  <c r="N46" i="7" s="1"/>
  <c r="M89" i="7"/>
  <c r="M88" i="7"/>
  <c r="M96" i="7"/>
  <c r="D91" i="8"/>
  <c r="F91" i="8" s="1"/>
  <c r="D75" i="8"/>
  <c r="F75" i="8" s="1"/>
  <c r="F68" i="8"/>
  <c r="G69" i="8" s="1"/>
  <c r="F69" i="9" s="1"/>
  <c r="F64" i="8"/>
  <c r="G64" i="8" s="1"/>
  <c r="F64" i="9" s="1"/>
  <c r="D39" i="8"/>
  <c r="F39" i="8" s="1"/>
  <c r="G39" i="8" s="1"/>
  <c r="F39" i="9" s="1"/>
  <c r="F33" i="8"/>
  <c r="G34" i="8" s="1"/>
  <c r="F34" i="9" s="1"/>
  <c r="G164" i="9"/>
  <c r="I164" i="9" s="1"/>
  <c r="D164" i="10" s="1"/>
  <c r="F164" i="10" s="1"/>
  <c r="G164" i="10" s="1"/>
  <c r="J128" i="3"/>
  <c r="E128" i="5" s="1"/>
  <c r="G128" i="5" s="1"/>
  <c r="E128" i="10" s="1"/>
  <c r="G125" i="9"/>
  <c r="I125" i="9" s="1"/>
  <c r="D125" i="10" s="1"/>
  <c r="F125" i="10" s="1"/>
  <c r="G125" i="10" s="1"/>
  <c r="G176" i="9"/>
  <c r="I176" i="9" s="1"/>
  <c r="D176" i="10" s="1"/>
  <c r="G121" i="9"/>
  <c r="I121" i="9" s="1"/>
  <c r="D121" i="10" s="1"/>
  <c r="G144" i="9"/>
  <c r="I144" i="9" s="1"/>
  <c r="D144" i="10" s="1"/>
  <c r="F144" i="10" s="1"/>
  <c r="G144" i="10" s="1"/>
  <c r="F148" i="10"/>
  <c r="G148" i="10" s="1"/>
  <c r="F131" i="10"/>
  <c r="G131" i="10" s="1"/>
  <c r="F155" i="10"/>
  <c r="G155" i="10" s="1"/>
  <c r="F124" i="10"/>
  <c r="G124" i="10" s="1"/>
  <c r="E151" i="5"/>
  <c r="G151" i="5" s="1"/>
  <c r="E151" i="10" s="1"/>
  <c r="F151" i="10" s="1"/>
  <c r="G106" i="5"/>
  <c r="E106" i="10" s="1"/>
  <c r="F106" i="10" s="1"/>
  <c r="G106" i="10" s="1"/>
  <c r="G173" i="5"/>
  <c r="E173" i="10" s="1"/>
  <c r="F173" i="10" s="1"/>
  <c r="G173" i="10" s="1"/>
  <c r="G158" i="5"/>
  <c r="E158" i="10" s="1"/>
  <c r="F158" i="10" s="1"/>
  <c r="G158" i="10" s="1"/>
  <c r="G113" i="5"/>
  <c r="E113" i="10" s="1"/>
  <c r="F153" i="10"/>
  <c r="G153" i="10" s="1"/>
  <c r="F115" i="10"/>
  <c r="G115" i="10" s="1"/>
  <c r="F174" i="10"/>
  <c r="G174" i="10" s="1"/>
  <c r="F107" i="10"/>
  <c r="G107" i="10" s="1"/>
  <c r="G105" i="9"/>
  <c r="I105" i="9" s="1"/>
  <c r="D105" i="10" s="1"/>
  <c r="F105" i="10" s="1"/>
  <c r="G105" i="10" s="1"/>
  <c r="N63" i="7"/>
  <c r="O63" i="7" s="1"/>
  <c r="E63" i="9" s="1"/>
  <c r="N99" i="7"/>
  <c r="N47" i="7"/>
  <c r="N35" i="7"/>
  <c r="N34" i="7"/>
  <c r="D17" i="8"/>
  <c r="F17" i="8" s="1"/>
  <c r="G18" i="8" s="1"/>
  <c r="F18" i="9" s="1"/>
  <c r="H17" i="7"/>
  <c r="L17" i="7" s="1"/>
  <c r="N17" i="7" s="1"/>
  <c r="D58" i="8"/>
  <c r="F58" i="8" s="1"/>
  <c r="H58" i="7"/>
  <c r="L58" i="7" s="1"/>
  <c r="N58" i="7" s="1"/>
  <c r="D62" i="8"/>
  <c r="F62" i="8" s="1"/>
  <c r="H62" i="7"/>
  <c r="L62" i="7" s="1"/>
  <c r="N62" i="7" s="1"/>
  <c r="H6" i="7"/>
  <c r="L6" i="7" s="1"/>
  <c r="N6" i="7" s="1"/>
  <c r="H96" i="7"/>
  <c r="L96" i="7" s="1"/>
  <c r="N96" i="7" s="1"/>
  <c r="H90" i="7"/>
  <c r="L90" i="7" s="1"/>
  <c r="N90" i="7" s="1"/>
  <c r="H85" i="7"/>
  <c r="L85" i="7" s="1"/>
  <c r="N85" i="7" s="1"/>
  <c r="H80" i="7"/>
  <c r="L80" i="7" s="1"/>
  <c r="N80" i="7" s="1"/>
  <c r="O80" i="7" s="1"/>
  <c r="E80" i="9" s="1"/>
  <c r="H74" i="7"/>
  <c r="L74" i="7" s="1"/>
  <c r="N74" i="7" s="1"/>
  <c r="H60" i="7"/>
  <c r="L60" i="7" s="1"/>
  <c r="N60" i="7" s="1"/>
  <c r="H49" i="7"/>
  <c r="L49" i="7" s="1"/>
  <c r="N49" i="7" s="1"/>
  <c r="N37" i="7"/>
  <c r="N33" i="7"/>
  <c r="O33" i="7" s="1"/>
  <c r="E33" i="9" s="1"/>
  <c r="N26" i="7"/>
  <c r="H9" i="7"/>
  <c r="L9" i="7" s="1"/>
  <c r="N9" i="7" s="1"/>
  <c r="O10" i="7" s="1"/>
  <c r="E10" i="9" s="1"/>
  <c r="D41" i="8"/>
  <c r="F41" i="8" s="1"/>
  <c r="H41" i="7"/>
  <c r="L41" i="7" s="1"/>
  <c r="N41" i="7" s="1"/>
  <c r="D63" i="8"/>
  <c r="F63" i="8" s="1"/>
  <c r="G63" i="8" s="1"/>
  <c r="F63" i="9" s="1"/>
  <c r="N38" i="7"/>
  <c r="O39" i="7" s="1"/>
  <c r="E39" i="9" s="1"/>
  <c r="N66" i="7"/>
  <c r="H5" i="7"/>
  <c r="L5" i="7" s="1"/>
  <c r="N5" i="7" s="1"/>
  <c r="H94" i="7"/>
  <c r="L94" i="7" s="1"/>
  <c r="N94" i="7" s="1"/>
  <c r="H89" i="7"/>
  <c r="L89" i="7" s="1"/>
  <c r="H84" i="7"/>
  <c r="L84" i="7" s="1"/>
  <c r="N84" i="7" s="1"/>
  <c r="O84" i="7" s="1"/>
  <c r="E84" i="9" s="1"/>
  <c r="H78" i="7"/>
  <c r="L78" i="7" s="1"/>
  <c r="N78" i="7" s="1"/>
  <c r="H59" i="7"/>
  <c r="L59" i="7" s="1"/>
  <c r="N59" i="7" s="1"/>
  <c r="O59" i="7" s="1"/>
  <c r="E59" i="9" s="1"/>
  <c r="H53" i="7"/>
  <c r="L53" i="7" s="1"/>
  <c r="N53" i="7" s="1"/>
  <c r="H48" i="7"/>
  <c r="L48" i="7" s="1"/>
  <c r="N48" i="7" s="1"/>
  <c r="H24" i="7"/>
  <c r="L24" i="7" s="1"/>
  <c r="N24" i="7" s="1"/>
  <c r="O24" i="7" s="1"/>
  <c r="E24" i="9" s="1"/>
  <c r="H19" i="7"/>
  <c r="L19" i="7" s="1"/>
  <c r="N19" i="7" s="1"/>
  <c r="O20" i="7" s="1"/>
  <c r="E20" i="9" s="1"/>
  <c r="H14" i="7"/>
  <c r="L14" i="7" s="1"/>
  <c r="G44" i="8"/>
  <c r="F44" i="9" s="1"/>
  <c r="H30" i="7"/>
  <c r="L30" i="7" s="1"/>
  <c r="N30" i="7" s="1"/>
  <c r="D30" i="8"/>
  <c r="F30" i="8" s="1"/>
  <c r="O36" i="7"/>
  <c r="E36" i="9" s="1"/>
  <c r="D25" i="8"/>
  <c r="F25" i="8" s="1"/>
  <c r="G25" i="8" s="1"/>
  <c r="F25" i="9" s="1"/>
  <c r="H25" i="7"/>
  <c r="L25" i="7" s="1"/>
  <c r="D50" i="8"/>
  <c r="F50" i="8" s="1"/>
  <c r="H50" i="7"/>
  <c r="L50" i="7" s="1"/>
  <c r="D54" i="8"/>
  <c r="F54" i="8" s="1"/>
  <c r="H54" i="7"/>
  <c r="L54" i="7" s="1"/>
  <c r="G60" i="8"/>
  <c r="F60" i="9" s="1"/>
  <c r="H2" i="7"/>
  <c r="L2" i="7" s="1"/>
  <c r="N2" i="7" s="1"/>
  <c r="H3" i="7"/>
  <c r="L3" i="7" s="1"/>
  <c r="N3" i="7" s="1"/>
  <c r="O3" i="7" s="1"/>
  <c r="E3" i="9" s="1"/>
  <c r="M25" i="7"/>
  <c r="M29" i="7"/>
  <c r="N29" i="7" s="1"/>
  <c r="N98" i="7"/>
  <c r="O98" i="7" s="1"/>
  <c r="E98" i="9" s="1"/>
  <c r="H93" i="7"/>
  <c r="L93" i="7" s="1"/>
  <c r="N93" i="7" s="1"/>
  <c r="H88" i="7"/>
  <c r="L88" i="7" s="1"/>
  <c r="N88" i="7" s="1"/>
  <c r="O88" i="7" s="1"/>
  <c r="E88" i="9" s="1"/>
  <c r="H82" i="7"/>
  <c r="L82" i="7" s="1"/>
  <c r="N82" i="7" s="1"/>
  <c r="H77" i="7"/>
  <c r="L77" i="7" s="1"/>
  <c r="N77" i="7" s="1"/>
  <c r="N57" i="7"/>
  <c r="H52" i="7"/>
  <c r="L52" i="7" s="1"/>
  <c r="N52" i="7" s="1"/>
  <c r="H23" i="7"/>
  <c r="L23" i="7" s="1"/>
  <c r="N23" i="7" s="1"/>
  <c r="H18" i="7"/>
  <c r="L18" i="7" s="1"/>
  <c r="N18" i="7" s="1"/>
  <c r="H11" i="7"/>
  <c r="L11" i="7" s="1"/>
  <c r="N11" i="7" s="1"/>
  <c r="O11" i="7" s="1"/>
  <c r="E11" i="9" s="1"/>
  <c r="D13" i="8"/>
  <c r="F13" i="8" s="1"/>
  <c r="H13" i="7"/>
  <c r="L13" i="7" s="1"/>
  <c r="N13" i="7" s="1"/>
  <c r="G79" i="8"/>
  <c r="F79" i="9" s="1"/>
  <c r="G35" i="8"/>
  <c r="F35" i="9" s="1"/>
  <c r="H8" i="7"/>
  <c r="L8" i="7" s="1"/>
  <c r="N8" i="7" s="1"/>
  <c r="H4" i="7"/>
  <c r="L4" i="7" s="1"/>
  <c r="N4" i="7" s="1"/>
  <c r="H12" i="7"/>
  <c r="L12" i="7" s="1"/>
  <c r="N12" i="7" s="1"/>
  <c r="D12" i="8"/>
  <c r="F12" i="8" s="1"/>
  <c r="H72" i="7"/>
  <c r="L72" i="7" s="1"/>
  <c r="N72" i="7" s="1"/>
  <c r="G36" i="8"/>
  <c r="F36" i="9" s="1"/>
  <c r="D72" i="8"/>
  <c r="F72" i="8" s="1"/>
  <c r="H42" i="7"/>
  <c r="L42" i="7" s="1"/>
  <c r="N42" i="7" s="1"/>
  <c r="O43" i="7" s="1"/>
  <c r="E43" i="9" s="1"/>
  <c r="F75" i="6"/>
  <c r="H101" i="3"/>
  <c r="H100" i="3"/>
  <c r="I100" i="3" s="1"/>
  <c r="H99" i="3"/>
  <c r="H98" i="3"/>
  <c r="H97" i="3"/>
  <c r="J97" i="3" s="1"/>
  <c r="E97" i="5" s="1"/>
  <c r="G97" i="5" s="1"/>
  <c r="E97" i="10" s="1"/>
  <c r="H96" i="3"/>
  <c r="I96" i="3" s="1"/>
  <c r="H95" i="3"/>
  <c r="H94" i="3"/>
  <c r="H93" i="3"/>
  <c r="H92" i="3"/>
  <c r="J92" i="3" s="1"/>
  <c r="E92" i="5" s="1"/>
  <c r="G92" i="5" s="1"/>
  <c r="E92" i="10" s="1"/>
  <c r="H91" i="3"/>
  <c r="I91" i="3" s="1"/>
  <c r="H90" i="3"/>
  <c r="H89" i="3"/>
  <c r="H88" i="3"/>
  <c r="I88" i="3" s="1"/>
  <c r="H87" i="3"/>
  <c r="H86" i="3"/>
  <c r="H85" i="3"/>
  <c r="H84" i="3"/>
  <c r="I84" i="3" s="1"/>
  <c r="H83" i="3"/>
  <c r="H82" i="3"/>
  <c r="J82" i="3" s="1"/>
  <c r="E82" i="5" s="1"/>
  <c r="G82" i="5" s="1"/>
  <c r="E82" i="10" s="1"/>
  <c r="H81" i="3"/>
  <c r="H80" i="3"/>
  <c r="I80" i="3" s="1"/>
  <c r="H79" i="3"/>
  <c r="H78" i="3"/>
  <c r="H77" i="3"/>
  <c r="J77" i="3" s="1"/>
  <c r="E77" i="5" s="1"/>
  <c r="G77" i="5" s="1"/>
  <c r="E77" i="10" s="1"/>
  <c r="H76" i="3"/>
  <c r="I76" i="3" s="1"/>
  <c r="H74" i="3"/>
  <c r="I75" i="3" s="1"/>
  <c r="H73" i="3"/>
  <c r="H72" i="3"/>
  <c r="H71" i="3"/>
  <c r="I71" i="3" s="1"/>
  <c r="H70" i="3"/>
  <c r="H69" i="3"/>
  <c r="H68" i="3"/>
  <c r="H67" i="3"/>
  <c r="H66" i="3"/>
  <c r="I66" i="3" s="1"/>
  <c r="H65" i="3"/>
  <c r="H64" i="3"/>
  <c r="H63" i="3"/>
  <c r="I63" i="3" s="1"/>
  <c r="H62" i="3"/>
  <c r="J62" i="3" s="1"/>
  <c r="E62" i="5" s="1"/>
  <c r="G62" i="5" s="1"/>
  <c r="E62" i="10" s="1"/>
  <c r="H61" i="3"/>
  <c r="H60" i="3"/>
  <c r="H59" i="3"/>
  <c r="H58" i="3"/>
  <c r="H57" i="3"/>
  <c r="H56" i="3"/>
  <c r="H55" i="3"/>
  <c r="H54" i="3"/>
  <c r="H53" i="3"/>
  <c r="H52" i="3"/>
  <c r="J52" i="3" s="1"/>
  <c r="E52" i="5" s="1"/>
  <c r="G52" i="5" s="1"/>
  <c r="E52" i="10" s="1"/>
  <c r="H51" i="3"/>
  <c r="I51" i="3" s="1"/>
  <c r="H50" i="3"/>
  <c r="H49" i="3"/>
  <c r="H48" i="3"/>
  <c r="H47" i="3"/>
  <c r="J47" i="3" s="1"/>
  <c r="E47" i="5" s="1"/>
  <c r="G47" i="5" s="1"/>
  <c r="E47" i="10" s="1"/>
  <c r="H46" i="3"/>
  <c r="H45" i="3"/>
  <c r="H44" i="3"/>
  <c r="H43" i="3"/>
  <c r="I43" i="3" s="1"/>
  <c r="H42" i="3"/>
  <c r="J42" i="3" s="1"/>
  <c r="E42" i="5" s="1"/>
  <c r="G42" i="5" s="1"/>
  <c r="E42" i="10" s="1"/>
  <c r="H41" i="3"/>
  <c r="H40" i="3"/>
  <c r="H39" i="3"/>
  <c r="H38" i="3"/>
  <c r="H37" i="3"/>
  <c r="H36" i="3"/>
  <c r="H35" i="3"/>
  <c r="H34" i="3"/>
  <c r="H33" i="3"/>
  <c r="H32" i="3"/>
  <c r="J32" i="3" s="1"/>
  <c r="E32" i="5" s="1"/>
  <c r="G32" i="5" s="1"/>
  <c r="E32" i="10" s="1"/>
  <c r="H31" i="3"/>
  <c r="I31" i="3" s="1"/>
  <c r="H30" i="3"/>
  <c r="H29" i="3"/>
  <c r="H28" i="3"/>
  <c r="H27" i="3"/>
  <c r="H26" i="3"/>
  <c r="I26" i="3" s="1"/>
  <c r="H25" i="3"/>
  <c r="H24" i="3"/>
  <c r="H23" i="3"/>
  <c r="H22" i="3"/>
  <c r="J22" i="3" s="1"/>
  <c r="E22" i="5" s="1"/>
  <c r="G22" i="5" s="1"/>
  <c r="E22" i="10" s="1"/>
  <c r="H21" i="3"/>
  <c r="H20" i="3"/>
  <c r="H19" i="3"/>
  <c r="H18" i="3"/>
  <c r="H17" i="3"/>
  <c r="H16" i="3"/>
  <c r="H15" i="3"/>
  <c r="H14" i="3"/>
  <c r="H13" i="3"/>
  <c r="H12" i="3"/>
  <c r="H11" i="3"/>
  <c r="I11" i="3" s="1"/>
  <c r="J11" i="3" s="1"/>
  <c r="E11" i="5" s="1"/>
  <c r="H10" i="3"/>
  <c r="H9" i="3"/>
  <c r="H8" i="3"/>
  <c r="H7" i="3"/>
  <c r="J7" i="3" s="1"/>
  <c r="E7" i="5" s="1"/>
  <c r="G7" i="5" s="1"/>
  <c r="E7" i="10" s="1"/>
  <c r="H6" i="3"/>
  <c r="H5" i="3"/>
  <c r="H4" i="3"/>
  <c r="I4" i="3" s="1"/>
  <c r="H2" i="3"/>
  <c r="J2" i="3" s="1"/>
  <c r="E2" i="5" s="1"/>
  <c r="D2" i="1"/>
  <c r="G101" i="3"/>
  <c r="G100" i="3"/>
  <c r="G99" i="3"/>
  <c r="G98" i="3"/>
  <c r="G96" i="3"/>
  <c r="G95" i="3"/>
  <c r="G94" i="3"/>
  <c r="G93" i="3"/>
  <c r="G86" i="3"/>
  <c r="G85" i="3"/>
  <c r="G84" i="3"/>
  <c r="G83" i="3"/>
  <c r="G81" i="3"/>
  <c r="G80" i="3"/>
  <c r="G79" i="3"/>
  <c r="G78" i="3"/>
  <c r="G71" i="3"/>
  <c r="G70" i="3"/>
  <c r="G69" i="3"/>
  <c r="G66" i="3"/>
  <c r="G65" i="3"/>
  <c r="G64" i="3"/>
  <c r="G63" i="3"/>
  <c r="G56" i="3"/>
  <c r="G55" i="3"/>
  <c r="G54" i="3"/>
  <c r="G53" i="3"/>
  <c r="G51" i="3"/>
  <c r="G50" i="3"/>
  <c r="G49" i="3"/>
  <c r="G48" i="3"/>
  <c r="G46" i="3"/>
  <c r="G45" i="3"/>
  <c r="G44" i="3"/>
  <c r="G43" i="3"/>
  <c r="G36" i="3"/>
  <c r="G35" i="3"/>
  <c r="G34" i="3"/>
  <c r="G33" i="3"/>
  <c r="G26" i="3"/>
  <c r="G25" i="3"/>
  <c r="G24" i="3"/>
  <c r="G23" i="3"/>
  <c r="G9" i="3"/>
  <c r="G8" i="3"/>
  <c r="G6" i="3"/>
  <c r="H2" i="4"/>
  <c r="F2" i="5" s="1"/>
  <c r="F99" i="4"/>
  <c r="F100" i="4"/>
  <c r="F101" i="4"/>
  <c r="F98" i="4"/>
  <c r="F94" i="4"/>
  <c r="F95" i="4"/>
  <c r="F96" i="4"/>
  <c r="F93" i="4"/>
  <c r="F89" i="4"/>
  <c r="F90" i="4"/>
  <c r="F91" i="4"/>
  <c r="F88" i="4"/>
  <c r="F84" i="4"/>
  <c r="F85" i="4"/>
  <c r="F86" i="4"/>
  <c r="F83" i="4"/>
  <c r="F79" i="4"/>
  <c r="F80" i="4"/>
  <c r="F81" i="4"/>
  <c r="F78" i="4"/>
  <c r="F74" i="4"/>
  <c r="F75" i="4"/>
  <c r="F76" i="4"/>
  <c r="F73" i="4"/>
  <c r="F69" i="4"/>
  <c r="F70" i="4"/>
  <c r="F71" i="4"/>
  <c r="F68" i="4"/>
  <c r="F64" i="4"/>
  <c r="F65" i="4"/>
  <c r="F66" i="4"/>
  <c r="F63" i="4"/>
  <c r="F59" i="4"/>
  <c r="F60" i="4"/>
  <c r="F61" i="4"/>
  <c r="F58" i="4"/>
  <c r="F54" i="4"/>
  <c r="F55" i="4"/>
  <c r="F56" i="4"/>
  <c r="F53" i="4"/>
  <c r="F49" i="4"/>
  <c r="F50" i="4"/>
  <c r="F51" i="4"/>
  <c r="F48" i="4"/>
  <c r="F44" i="4"/>
  <c r="F45" i="4"/>
  <c r="F46" i="4"/>
  <c r="F43" i="4"/>
  <c r="F39" i="4"/>
  <c r="F40" i="4"/>
  <c r="F41" i="4"/>
  <c r="F38" i="4"/>
  <c r="F34" i="4"/>
  <c r="F35" i="4"/>
  <c r="F36" i="4"/>
  <c r="F33" i="4"/>
  <c r="F29" i="4"/>
  <c r="F30" i="4"/>
  <c r="F31" i="4"/>
  <c r="F28" i="4"/>
  <c r="F24" i="4"/>
  <c r="F25" i="4"/>
  <c r="F26" i="4"/>
  <c r="F23" i="4"/>
  <c r="F19" i="4"/>
  <c r="F20" i="4"/>
  <c r="F21" i="4"/>
  <c r="F18" i="4"/>
  <c r="F14" i="4"/>
  <c r="F15" i="4"/>
  <c r="F16" i="4"/>
  <c r="F13" i="4"/>
  <c r="F9" i="4"/>
  <c r="F10" i="4"/>
  <c r="F11" i="4"/>
  <c r="F8" i="4"/>
  <c r="F4" i="4"/>
  <c r="F5" i="4"/>
  <c r="F6" i="4"/>
  <c r="F3" i="4"/>
  <c r="F2" i="2"/>
  <c r="H2" i="9" s="1"/>
  <c r="I2" i="9" s="1"/>
  <c r="D2" i="10" s="1"/>
  <c r="F97" i="2"/>
  <c r="H97" i="9" s="1"/>
  <c r="I97" i="9" s="1"/>
  <c r="D97" i="10" s="1"/>
  <c r="F92" i="2"/>
  <c r="H92" i="9" s="1"/>
  <c r="I92" i="9" s="1"/>
  <c r="D92" i="10" s="1"/>
  <c r="F87" i="2"/>
  <c r="H87" i="9" s="1"/>
  <c r="I87" i="9" s="1"/>
  <c r="D87" i="10" s="1"/>
  <c r="F82" i="2"/>
  <c r="H82" i="9" s="1"/>
  <c r="I82" i="9" s="1"/>
  <c r="D82" i="10" s="1"/>
  <c r="F77" i="2"/>
  <c r="H77" i="9" s="1"/>
  <c r="I77" i="9" s="1"/>
  <c r="D77" i="10" s="1"/>
  <c r="F72" i="2"/>
  <c r="H72" i="9" s="1"/>
  <c r="I72" i="9" s="1"/>
  <c r="D72" i="10" s="1"/>
  <c r="F67" i="2"/>
  <c r="H67" i="9" s="1"/>
  <c r="I67" i="9" s="1"/>
  <c r="D67" i="10" s="1"/>
  <c r="F62" i="2"/>
  <c r="H62" i="9" s="1"/>
  <c r="I62" i="9" s="1"/>
  <c r="D62" i="10" s="1"/>
  <c r="F57" i="2"/>
  <c r="H57" i="9" s="1"/>
  <c r="I57" i="9" s="1"/>
  <c r="D57" i="10" s="1"/>
  <c r="F52" i="2"/>
  <c r="H52" i="9" s="1"/>
  <c r="I52" i="9" s="1"/>
  <c r="D52" i="10" s="1"/>
  <c r="F47" i="2"/>
  <c r="H47" i="9" s="1"/>
  <c r="I47" i="9" s="1"/>
  <c r="D47" i="10" s="1"/>
  <c r="F42" i="2"/>
  <c r="H42" i="9" s="1"/>
  <c r="I42" i="9" s="1"/>
  <c r="D42" i="10" s="1"/>
  <c r="F37" i="2"/>
  <c r="H37" i="9" s="1"/>
  <c r="I37" i="9" s="1"/>
  <c r="D37" i="10" s="1"/>
  <c r="F32" i="2"/>
  <c r="H32" i="9" s="1"/>
  <c r="I32" i="9" s="1"/>
  <c r="D32" i="10" s="1"/>
  <c r="F27" i="2"/>
  <c r="H27" i="9" s="1"/>
  <c r="I27" i="9" s="1"/>
  <c r="D27" i="10" s="1"/>
  <c r="F22" i="2"/>
  <c r="H22" i="9" s="1"/>
  <c r="I22" i="9" s="1"/>
  <c r="D22" i="10" s="1"/>
  <c r="F17" i="2"/>
  <c r="H17" i="9" s="1"/>
  <c r="I17" i="9" s="1"/>
  <c r="D17" i="10" s="1"/>
  <c r="F12" i="2"/>
  <c r="H12" i="9" s="1"/>
  <c r="I12" i="9" s="1"/>
  <c r="D12" i="10" s="1"/>
  <c r="F7" i="2"/>
  <c r="H7" i="9" s="1"/>
  <c r="I7" i="9" s="1"/>
  <c r="D7" i="10" s="1"/>
  <c r="E99" i="4"/>
  <c r="H99" i="4" s="1"/>
  <c r="F99" i="5" s="1"/>
  <c r="E100" i="4"/>
  <c r="H100" i="4" s="1"/>
  <c r="F100" i="5" s="1"/>
  <c r="E101" i="4"/>
  <c r="H101" i="4" s="1"/>
  <c r="F101" i="5" s="1"/>
  <c r="E98" i="4"/>
  <c r="H98" i="4" s="1"/>
  <c r="F98" i="5" s="1"/>
  <c r="E94" i="4"/>
  <c r="H94" i="4" s="1"/>
  <c r="F94" i="5" s="1"/>
  <c r="E95" i="4"/>
  <c r="H95" i="4" s="1"/>
  <c r="F95" i="5" s="1"/>
  <c r="E96" i="4"/>
  <c r="H96" i="4" s="1"/>
  <c r="F96" i="5" s="1"/>
  <c r="E93" i="4"/>
  <c r="H93" i="4" s="1"/>
  <c r="F93" i="5" s="1"/>
  <c r="E89" i="4"/>
  <c r="H89" i="4" s="1"/>
  <c r="F89" i="5" s="1"/>
  <c r="E90" i="4"/>
  <c r="F90" i="5" s="1"/>
  <c r="E91" i="4"/>
  <c r="H91" i="4" s="1"/>
  <c r="F91" i="5" s="1"/>
  <c r="E88" i="4"/>
  <c r="H88" i="4" s="1"/>
  <c r="F88" i="5" s="1"/>
  <c r="E84" i="4"/>
  <c r="H84" i="4" s="1"/>
  <c r="F84" i="5" s="1"/>
  <c r="E85" i="4"/>
  <c r="H85" i="4" s="1"/>
  <c r="F85" i="5" s="1"/>
  <c r="E86" i="4"/>
  <c r="H86" i="4" s="1"/>
  <c r="F86" i="5" s="1"/>
  <c r="E83" i="4"/>
  <c r="H83" i="4" s="1"/>
  <c r="F83" i="5" s="1"/>
  <c r="E79" i="4"/>
  <c r="H79" i="4" s="1"/>
  <c r="F79" i="5" s="1"/>
  <c r="E80" i="4"/>
  <c r="H80" i="4" s="1"/>
  <c r="F80" i="5" s="1"/>
  <c r="E81" i="4"/>
  <c r="H81" i="4" s="1"/>
  <c r="F81" i="5" s="1"/>
  <c r="E78" i="4"/>
  <c r="H78" i="4" s="1"/>
  <c r="F78" i="5" s="1"/>
  <c r="E74" i="4"/>
  <c r="H74" i="4" s="1"/>
  <c r="F74" i="5" s="1"/>
  <c r="E75" i="4"/>
  <c r="H75" i="4" s="1"/>
  <c r="E76" i="4"/>
  <c r="H76" i="4" s="1"/>
  <c r="F76" i="5" s="1"/>
  <c r="E73" i="4"/>
  <c r="H73" i="4" s="1"/>
  <c r="F73" i="5" s="1"/>
  <c r="E71" i="4"/>
  <c r="E69" i="4"/>
  <c r="E70" i="4"/>
  <c r="H70" i="4" s="1"/>
  <c r="F70" i="5" s="1"/>
  <c r="E68" i="4"/>
  <c r="H68" i="4" s="1"/>
  <c r="E64" i="4"/>
  <c r="H64" i="4" s="1"/>
  <c r="F64" i="5" s="1"/>
  <c r="E65" i="4"/>
  <c r="H65" i="4" s="1"/>
  <c r="F65" i="5" s="1"/>
  <c r="E66" i="4"/>
  <c r="H66" i="4" s="1"/>
  <c r="F66" i="5" s="1"/>
  <c r="E63" i="4"/>
  <c r="H63" i="4" s="1"/>
  <c r="F63" i="5" s="1"/>
  <c r="E59" i="4"/>
  <c r="H59" i="4" s="1"/>
  <c r="F59" i="5" s="1"/>
  <c r="E60" i="4"/>
  <c r="H60" i="4" s="1"/>
  <c r="F60" i="5" s="1"/>
  <c r="E61" i="4"/>
  <c r="H61" i="4" s="1"/>
  <c r="F61" i="5" s="1"/>
  <c r="E58" i="4"/>
  <c r="H58" i="4" s="1"/>
  <c r="F58" i="5" s="1"/>
  <c r="E54" i="4"/>
  <c r="H54" i="4" s="1"/>
  <c r="F54" i="5" s="1"/>
  <c r="E55" i="4"/>
  <c r="H55" i="4" s="1"/>
  <c r="F55" i="5" s="1"/>
  <c r="E56" i="4"/>
  <c r="H56" i="4" s="1"/>
  <c r="F56" i="5" s="1"/>
  <c r="E53" i="4"/>
  <c r="H53" i="4" s="1"/>
  <c r="F53" i="5" s="1"/>
  <c r="E49" i="4"/>
  <c r="H49" i="4" s="1"/>
  <c r="F49" i="5" s="1"/>
  <c r="E50" i="4"/>
  <c r="H50" i="4" s="1"/>
  <c r="F50" i="5" s="1"/>
  <c r="E51" i="4"/>
  <c r="H51" i="4" s="1"/>
  <c r="F51" i="5" s="1"/>
  <c r="E48" i="4"/>
  <c r="H48" i="4" s="1"/>
  <c r="F48" i="5" s="1"/>
  <c r="E44" i="4"/>
  <c r="H44" i="4" s="1"/>
  <c r="F44" i="5" s="1"/>
  <c r="E45" i="4"/>
  <c r="H45" i="4" s="1"/>
  <c r="F45" i="5" s="1"/>
  <c r="E46" i="4"/>
  <c r="H46" i="4" s="1"/>
  <c r="F46" i="5" s="1"/>
  <c r="E43" i="4"/>
  <c r="H43" i="4" s="1"/>
  <c r="F43" i="5" s="1"/>
  <c r="E39" i="4"/>
  <c r="H39" i="4" s="1"/>
  <c r="F39" i="5" s="1"/>
  <c r="E40" i="4"/>
  <c r="H40" i="4" s="1"/>
  <c r="F40" i="5" s="1"/>
  <c r="E41" i="4"/>
  <c r="H41" i="4" s="1"/>
  <c r="F41" i="5" s="1"/>
  <c r="E38" i="4"/>
  <c r="H38" i="4" s="1"/>
  <c r="F38" i="5" s="1"/>
  <c r="E34" i="4"/>
  <c r="H34" i="4" s="1"/>
  <c r="F34" i="5" s="1"/>
  <c r="E35" i="4"/>
  <c r="H35" i="4" s="1"/>
  <c r="F35" i="5" s="1"/>
  <c r="E36" i="4"/>
  <c r="H36" i="4" s="1"/>
  <c r="F36" i="5" s="1"/>
  <c r="E33" i="4"/>
  <c r="H33" i="4" s="1"/>
  <c r="F33" i="5" s="1"/>
  <c r="E29" i="4"/>
  <c r="H29" i="4" s="1"/>
  <c r="F29" i="5" s="1"/>
  <c r="E30" i="4"/>
  <c r="H30" i="4" s="1"/>
  <c r="F30" i="5" s="1"/>
  <c r="E31" i="4"/>
  <c r="E28" i="4"/>
  <c r="H28" i="4" s="1"/>
  <c r="F28" i="5" s="1"/>
  <c r="E24" i="4"/>
  <c r="H24" i="4" s="1"/>
  <c r="F24" i="5" s="1"/>
  <c r="E25" i="4"/>
  <c r="H25" i="4" s="1"/>
  <c r="F25" i="5" s="1"/>
  <c r="E26" i="4"/>
  <c r="H26" i="4" s="1"/>
  <c r="F26" i="5" s="1"/>
  <c r="E23" i="4"/>
  <c r="H23" i="4" s="1"/>
  <c r="F23" i="5" s="1"/>
  <c r="E19" i="4"/>
  <c r="H19" i="4" s="1"/>
  <c r="F19" i="5" s="1"/>
  <c r="E20" i="4"/>
  <c r="H20" i="4" s="1"/>
  <c r="F20" i="5" s="1"/>
  <c r="E21" i="4"/>
  <c r="H21" i="4" s="1"/>
  <c r="F21" i="5" s="1"/>
  <c r="E18" i="4"/>
  <c r="H18" i="4" s="1"/>
  <c r="F18" i="5" s="1"/>
  <c r="E14" i="4"/>
  <c r="H14" i="4" s="1"/>
  <c r="F14" i="5" s="1"/>
  <c r="E15" i="4"/>
  <c r="H15" i="4" s="1"/>
  <c r="F15" i="5" s="1"/>
  <c r="E16" i="4"/>
  <c r="H16" i="4" s="1"/>
  <c r="F16" i="5" s="1"/>
  <c r="E13" i="4"/>
  <c r="H13" i="4" s="1"/>
  <c r="F13" i="5" s="1"/>
  <c r="E9" i="4"/>
  <c r="H9" i="4" s="1"/>
  <c r="F9" i="5" s="1"/>
  <c r="E10" i="4"/>
  <c r="H10" i="4" s="1"/>
  <c r="F10" i="5" s="1"/>
  <c r="E11" i="4"/>
  <c r="H11" i="4" s="1"/>
  <c r="F11" i="5" s="1"/>
  <c r="E8" i="4"/>
  <c r="H8" i="4" s="1"/>
  <c r="F8" i="5" s="1"/>
  <c r="E4" i="4"/>
  <c r="H4" i="4" s="1"/>
  <c r="F4" i="5" s="1"/>
  <c r="E5" i="4"/>
  <c r="H5" i="4" s="1"/>
  <c r="E6" i="4"/>
  <c r="H6" i="4" s="1"/>
  <c r="F6" i="5" s="1"/>
  <c r="E3" i="4"/>
  <c r="G151" i="10" l="1"/>
  <c r="D122" i="17"/>
  <c r="E122" i="17" s="1"/>
  <c r="F110" i="10"/>
  <c r="G110" i="10" s="1"/>
  <c r="F116" i="10"/>
  <c r="G116" i="10" s="1"/>
  <c r="F169" i="10"/>
  <c r="G169" i="10" s="1"/>
  <c r="F128" i="10"/>
  <c r="G128" i="10" s="1"/>
  <c r="F113" i="10"/>
  <c r="G113" i="10" s="1"/>
  <c r="F104" i="10"/>
  <c r="G104" i="10" s="1"/>
  <c r="G56" i="8"/>
  <c r="F56" i="9" s="1"/>
  <c r="G100" i="8"/>
  <c r="F100" i="9" s="1"/>
  <c r="G70" i="8"/>
  <c r="F70" i="9" s="1"/>
  <c r="G28" i="8"/>
  <c r="F28" i="9" s="1"/>
  <c r="G50" i="8"/>
  <c r="F50" i="9" s="1"/>
  <c r="G19" i="8"/>
  <c r="F19" i="9" s="1"/>
  <c r="G3" i="8"/>
  <c r="F3" i="9" s="1"/>
  <c r="G30" i="8"/>
  <c r="F30" i="9" s="1"/>
  <c r="O66" i="7"/>
  <c r="E66" i="9" s="1"/>
  <c r="N31" i="7"/>
  <c r="G71" i="8"/>
  <c r="F71" i="9" s="1"/>
  <c r="G33" i="8"/>
  <c r="F33" i="9" s="1"/>
  <c r="G54" i="8"/>
  <c r="F54" i="9" s="1"/>
  <c r="G41" i="8"/>
  <c r="F41" i="9" s="1"/>
  <c r="G58" i="8"/>
  <c r="F58" i="9" s="1"/>
  <c r="G85" i="8"/>
  <c r="F85" i="9" s="1"/>
  <c r="G95" i="8"/>
  <c r="F95" i="9" s="1"/>
  <c r="N40" i="7"/>
  <c r="O40" i="7" s="1"/>
  <c r="E40" i="9" s="1"/>
  <c r="G76" i="8"/>
  <c r="F76" i="9" s="1"/>
  <c r="G68" i="8"/>
  <c r="F68" i="9" s="1"/>
  <c r="O93" i="7"/>
  <c r="E93" i="9" s="1"/>
  <c r="N54" i="7"/>
  <c r="O54" i="7" s="1"/>
  <c r="E54" i="9" s="1"/>
  <c r="G49" i="8"/>
  <c r="F49" i="9" s="1"/>
  <c r="O56" i="7"/>
  <c r="E56" i="9" s="1"/>
  <c r="G80" i="8"/>
  <c r="F80" i="9" s="1"/>
  <c r="O85" i="7"/>
  <c r="E85" i="9" s="1"/>
  <c r="G26" i="8"/>
  <c r="F26" i="9" s="1"/>
  <c r="G4" i="8"/>
  <c r="F4" i="9" s="1"/>
  <c r="O83" i="7"/>
  <c r="E83" i="9" s="1"/>
  <c r="G86" i="8"/>
  <c r="F86" i="9" s="1"/>
  <c r="N50" i="7"/>
  <c r="O50" i="7" s="1"/>
  <c r="E50" i="9" s="1"/>
  <c r="N14" i="7"/>
  <c r="N89" i="7"/>
  <c r="O100" i="7"/>
  <c r="E100" i="9" s="1"/>
  <c r="O46" i="7"/>
  <c r="E46" i="9" s="1"/>
  <c r="N27" i="7"/>
  <c r="G53" i="8"/>
  <c r="F53" i="9" s="1"/>
  <c r="F134" i="10"/>
  <c r="G134" i="10" s="1"/>
  <c r="G11" i="8"/>
  <c r="F11" i="9" s="1"/>
  <c r="F121" i="10"/>
  <c r="G121" i="10" s="1"/>
  <c r="H69" i="4"/>
  <c r="F69" i="5" s="1"/>
  <c r="I8" i="3"/>
  <c r="I20" i="3"/>
  <c r="I24" i="3"/>
  <c r="J24" i="3" s="1"/>
  <c r="E24" i="5" s="1"/>
  <c r="I28" i="3"/>
  <c r="I36" i="3"/>
  <c r="I40" i="3"/>
  <c r="I44" i="3"/>
  <c r="I48" i="3"/>
  <c r="J48" i="3" s="1"/>
  <c r="E48" i="5" s="1"/>
  <c r="I85" i="3"/>
  <c r="I89" i="3"/>
  <c r="I93" i="3"/>
  <c r="I101" i="3"/>
  <c r="J101" i="3" s="1"/>
  <c r="E101" i="5" s="1"/>
  <c r="I16" i="3"/>
  <c r="I56" i="3"/>
  <c r="I60" i="3"/>
  <c r="I64" i="3"/>
  <c r="I68" i="3"/>
  <c r="I81" i="3"/>
  <c r="J81" i="3" s="1"/>
  <c r="E81" i="5" s="1"/>
  <c r="F32" i="10"/>
  <c r="G32" i="10" s="1"/>
  <c r="F52" i="10"/>
  <c r="G52" i="10" s="1"/>
  <c r="F97" i="10"/>
  <c r="G97" i="10" s="1"/>
  <c r="F3" i="5"/>
  <c r="O70" i="7"/>
  <c r="E70" i="9" s="1"/>
  <c r="O60" i="7"/>
  <c r="E60" i="9" s="1"/>
  <c r="G94" i="8"/>
  <c r="F94" i="9" s="1"/>
  <c r="I10" i="3"/>
  <c r="J10" i="3" s="1"/>
  <c r="E10" i="5" s="1"/>
  <c r="I14" i="3"/>
  <c r="I18" i="3"/>
  <c r="F22" i="10"/>
  <c r="G22" i="10" s="1"/>
  <c r="I30" i="3"/>
  <c r="I34" i="3"/>
  <c r="J34" i="3" s="1"/>
  <c r="E34" i="5" s="1"/>
  <c r="I38" i="3"/>
  <c r="F42" i="10"/>
  <c r="G42" i="10" s="1"/>
  <c r="I50" i="3"/>
  <c r="J50" i="3" s="1"/>
  <c r="E50" i="5" s="1"/>
  <c r="I54" i="3"/>
  <c r="I58" i="3"/>
  <c r="F62" i="10"/>
  <c r="G62" i="10" s="1"/>
  <c r="I70" i="3"/>
  <c r="I79" i="3"/>
  <c r="J79" i="3" s="1"/>
  <c r="E79" i="5" s="1"/>
  <c r="I95" i="3"/>
  <c r="I99" i="3"/>
  <c r="O23" i="7"/>
  <c r="E23" i="9" s="1"/>
  <c r="O48" i="7"/>
  <c r="E48" i="9" s="1"/>
  <c r="O96" i="7"/>
  <c r="E96" i="9" s="1"/>
  <c r="O35" i="7"/>
  <c r="E35" i="9" s="1"/>
  <c r="F176" i="10"/>
  <c r="G176" i="10" s="1"/>
  <c r="G65" i="8"/>
  <c r="F65" i="9" s="1"/>
  <c r="G73" i="8"/>
  <c r="F73" i="9" s="1"/>
  <c r="G88" i="8"/>
  <c r="F88" i="9" s="1"/>
  <c r="G74" i="8"/>
  <c r="F74" i="9" s="1"/>
  <c r="G91" i="8"/>
  <c r="F91" i="9" s="1"/>
  <c r="G15" i="8"/>
  <c r="F15" i="9" s="1"/>
  <c r="G96" i="8"/>
  <c r="F96" i="9" s="1"/>
  <c r="I5" i="3"/>
  <c r="I9" i="3"/>
  <c r="I13" i="3"/>
  <c r="I25" i="3"/>
  <c r="J25" i="3" s="1"/>
  <c r="E25" i="5" s="1"/>
  <c r="I29" i="3"/>
  <c r="I33" i="3"/>
  <c r="I45" i="3"/>
  <c r="I49" i="3"/>
  <c r="J49" i="3" s="1"/>
  <c r="E49" i="5" s="1"/>
  <c r="I53" i="3"/>
  <c r="I65" i="3"/>
  <c r="I69" i="3"/>
  <c r="J69" i="3" s="1"/>
  <c r="E69" i="5" s="1"/>
  <c r="I73" i="3"/>
  <c r="I78" i="3"/>
  <c r="J78" i="3" s="1"/>
  <c r="I90" i="3"/>
  <c r="I94" i="3"/>
  <c r="J94" i="3" s="1"/>
  <c r="E94" i="5" s="1"/>
  <c r="I98" i="3"/>
  <c r="J98" i="3" s="1"/>
  <c r="E98" i="5" s="1"/>
  <c r="I6" i="3"/>
  <c r="J6" i="3" s="1"/>
  <c r="E6" i="5" s="1"/>
  <c r="I46" i="3"/>
  <c r="O94" i="7"/>
  <c r="E94" i="9" s="1"/>
  <c r="G81" i="8"/>
  <c r="G90" i="8"/>
  <c r="F90" i="9" s="1"/>
  <c r="H71" i="4"/>
  <c r="F71" i="5" s="1"/>
  <c r="I3" i="3"/>
  <c r="F7" i="10"/>
  <c r="G7" i="10" s="1"/>
  <c r="I15" i="3"/>
  <c r="I19" i="3"/>
  <c r="I23" i="3"/>
  <c r="J23" i="3" s="1"/>
  <c r="E23" i="5" s="1"/>
  <c r="I35" i="3"/>
  <c r="J35" i="3" s="1"/>
  <c r="E35" i="5" s="1"/>
  <c r="I39" i="3"/>
  <c r="F47" i="10"/>
  <c r="G47" i="10" s="1"/>
  <c r="I55" i="3"/>
  <c r="J55" i="3" s="1"/>
  <c r="E55" i="5" s="1"/>
  <c r="I59" i="3"/>
  <c r="O8" i="7"/>
  <c r="E8" i="9" s="1"/>
  <c r="G13" i="8"/>
  <c r="F13" i="9" s="1"/>
  <c r="G14" i="8"/>
  <c r="F14" i="9" s="1"/>
  <c r="O45" i="7"/>
  <c r="E45" i="9" s="1"/>
  <c r="G10" i="8"/>
  <c r="F10" i="9" s="1"/>
  <c r="G75" i="8"/>
  <c r="F75" i="9" s="1"/>
  <c r="G40" i="8"/>
  <c r="F40" i="9" s="1"/>
  <c r="N22" i="7"/>
  <c r="N28" i="7"/>
  <c r="O28" i="7" s="1"/>
  <c r="E28" i="9" s="1"/>
  <c r="G84" i="8"/>
  <c r="F84" i="9" s="1"/>
  <c r="G16" i="8"/>
  <c r="F16" i="9" s="1"/>
  <c r="F77" i="10"/>
  <c r="G77" i="10" s="1"/>
  <c r="F82" i="10"/>
  <c r="G82" i="10" s="1"/>
  <c r="J53" i="3"/>
  <c r="E53" i="5" s="1"/>
  <c r="I41" i="3"/>
  <c r="F92" i="10"/>
  <c r="G92" i="10" s="1"/>
  <c r="O30" i="7"/>
  <c r="E30" i="9" s="1"/>
  <c r="O61" i="7"/>
  <c r="E61" i="9" s="1"/>
  <c r="O31" i="7"/>
  <c r="E31" i="9" s="1"/>
  <c r="J8" i="3"/>
  <c r="E8" i="5" s="1"/>
  <c r="J44" i="3"/>
  <c r="E44" i="5" s="1"/>
  <c r="J54" i="3"/>
  <c r="E54" i="5" s="1"/>
  <c r="J64" i="3"/>
  <c r="E64" i="5" s="1"/>
  <c r="J84" i="3"/>
  <c r="E84" i="5" s="1"/>
  <c r="J99" i="3"/>
  <c r="E99" i="5" s="1"/>
  <c r="D2" i="6"/>
  <c r="F2" i="6" s="1"/>
  <c r="I83" i="3"/>
  <c r="J83" i="3" s="1"/>
  <c r="E83" i="5" s="1"/>
  <c r="O78" i="7"/>
  <c r="E78" i="9" s="1"/>
  <c r="O5" i="7"/>
  <c r="E5" i="9" s="1"/>
  <c r="O90" i="7"/>
  <c r="E90" i="9" s="1"/>
  <c r="O79" i="7"/>
  <c r="E79" i="9" s="1"/>
  <c r="G59" i="8"/>
  <c r="F59" i="9" s="1"/>
  <c r="J33" i="3"/>
  <c r="E33" i="5" s="1"/>
  <c r="I61" i="3"/>
  <c r="J9" i="3"/>
  <c r="E9" i="5" s="1"/>
  <c r="J45" i="3"/>
  <c r="E45" i="5" s="1"/>
  <c r="J65" i="3"/>
  <c r="E65" i="5" s="1"/>
  <c r="J70" i="3"/>
  <c r="J80" i="3"/>
  <c r="J85" i="3"/>
  <c r="E85" i="5" s="1"/>
  <c r="J95" i="3"/>
  <c r="E95" i="5" s="1"/>
  <c r="J100" i="3"/>
  <c r="E100" i="5" s="1"/>
  <c r="I74" i="3"/>
  <c r="O18" i="7"/>
  <c r="E18" i="9" s="1"/>
  <c r="N25" i="7"/>
  <c r="O25" i="7" s="1"/>
  <c r="E25" i="9" s="1"/>
  <c r="O14" i="7"/>
  <c r="E14" i="9" s="1"/>
  <c r="O53" i="7"/>
  <c r="E53" i="9" s="1"/>
  <c r="O74" i="7"/>
  <c r="E74" i="9" s="1"/>
  <c r="O91" i="7"/>
  <c r="E91" i="9" s="1"/>
  <c r="G31" i="8"/>
  <c r="F31" i="9" s="1"/>
  <c r="O71" i="7"/>
  <c r="E71" i="9" s="1"/>
  <c r="O15" i="7"/>
  <c r="E15" i="9" s="1"/>
  <c r="J43" i="3"/>
  <c r="E43" i="5" s="1"/>
  <c r="J63" i="3"/>
  <c r="E63" i="5" s="1"/>
  <c r="J93" i="3"/>
  <c r="E93" i="5" s="1"/>
  <c r="I21" i="3"/>
  <c r="I86" i="3"/>
  <c r="J86" i="3" s="1"/>
  <c r="E86" i="5" s="1"/>
  <c r="O95" i="7"/>
  <c r="E95" i="9" s="1"/>
  <c r="J5" i="3"/>
  <c r="E5" i="5" s="1"/>
  <c r="J26" i="3"/>
  <c r="E26" i="5" s="1"/>
  <c r="J36" i="3"/>
  <c r="E36" i="5" s="1"/>
  <c r="J46" i="3"/>
  <c r="E46" i="5" s="1"/>
  <c r="J51" i="3"/>
  <c r="E51" i="5" s="1"/>
  <c r="J56" i="3"/>
  <c r="E56" i="5" s="1"/>
  <c r="J66" i="3"/>
  <c r="E66" i="5" s="1"/>
  <c r="J71" i="3"/>
  <c r="J96" i="3"/>
  <c r="E96" i="5" s="1"/>
  <c r="O4" i="7"/>
  <c r="E4" i="9" s="1"/>
  <c r="O13" i="7"/>
  <c r="E13" i="9" s="1"/>
  <c r="G51" i="8"/>
  <c r="F51" i="9" s="1"/>
  <c r="O19" i="7"/>
  <c r="E19" i="9" s="1"/>
  <c r="O89" i="7"/>
  <c r="E89" i="9" s="1"/>
  <c r="O38" i="7"/>
  <c r="E38" i="9" s="1"/>
  <c r="O9" i="7"/>
  <c r="E9" i="9" s="1"/>
  <c r="O49" i="7"/>
  <c r="E49" i="9" s="1"/>
  <c r="O6" i="7"/>
  <c r="E6" i="9" s="1"/>
  <c r="O58" i="7"/>
  <c r="E58" i="9" s="1"/>
  <c r="O34" i="7"/>
  <c r="E34" i="9" s="1"/>
  <c r="O99" i="7"/>
  <c r="E99" i="9" s="1"/>
  <c r="O64" i="7"/>
  <c r="E64" i="9" s="1"/>
  <c r="O55" i="7"/>
  <c r="E55" i="9" s="1"/>
  <c r="O75" i="7"/>
  <c r="E75" i="9" s="1"/>
  <c r="F91" i="3"/>
  <c r="G91" i="3" s="1"/>
  <c r="J91" i="3" s="1"/>
  <c r="E91" i="5" s="1"/>
  <c r="F90" i="3"/>
  <c r="F89" i="3"/>
  <c r="F88" i="3"/>
  <c r="F87" i="3"/>
  <c r="J87" i="3" s="1"/>
  <c r="E87" i="5" s="1"/>
  <c r="G87" i="5" s="1"/>
  <c r="E87" i="10" s="1"/>
  <c r="F87" i="10" s="1"/>
  <c r="G87" i="10" s="1"/>
  <c r="F76" i="3"/>
  <c r="F75" i="3"/>
  <c r="F74" i="3"/>
  <c r="F73" i="3"/>
  <c r="G73" i="3" s="1"/>
  <c r="F72" i="3"/>
  <c r="J72" i="3" s="1"/>
  <c r="E72" i="5" s="1"/>
  <c r="G72" i="5" s="1"/>
  <c r="E72" i="10" s="1"/>
  <c r="F72" i="10" s="1"/>
  <c r="G72" i="10" s="1"/>
  <c r="F67" i="3"/>
  <c r="F61" i="3"/>
  <c r="F60" i="3"/>
  <c r="G60" i="3" s="1"/>
  <c r="J60" i="3" s="1"/>
  <c r="E60" i="5" s="1"/>
  <c r="F59" i="3"/>
  <c r="F58" i="3"/>
  <c r="F57" i="3"/>
  <c r="J57" i="3" s="1"/>
  <c r="E57" i="5" s="1"/>
  <c r="G57" i="5" s="1"/>
  <c r="E57" i="10" s="1"/>
  <c r="F57" i="10" s="1"/>
  <c r="G57" i="10" s="1"/>
  <c r="F41" i="3"/>
  <c r="G41" i="3" s="1"/>
  <c r="J41" i="3" s="1"/>
  <c r="E41" i="5" s="1"/>
  <c r="F40" i="3"/>
  <c r="F39" i="3"/>
  <c r="F38" i="3"/>
  <c r="F37" i="3"/>
  <c r="J37" i="3" s="1"/>
  <c r="E37" i="5" s="1"/>
  <c r="G37" i="5" s="1"/>
  <c r="E37" i="10" s="1"/>
  <c r="F37" i="10" s="1"/>
  <c r="G37" i="10" s="1"/>
  <c r="D31" i="4"/>
  <c r="H31" i="4" s="1"/>
  <c r="F31" i="5" s="1"/>
  <c r="F31" i="3"/>
  <c r="F30" i="3"/>
  <c r="F29" i="3"/>
  <c r="G29" i="3" s="1"/>
  <c r="J29" i="3" s="1"/>
  <c r="E29" i="5" s="1"/>
  <c r="F28" i="3"/>
  <c r="F27" i="3"/>
  <c r="J27" i="3" s="1"/>
  <c r="E27" i="5" s="1"/>
  <c r="G27" i="5" s="1"/>
  <c r="E27" i="10" s="1"/>
  <c r="F27" i="10" s="1"/>
  <c r="G27" i="10" s="1"/>
  <c r="F21" i="3"/>
  <c r="F20" i="3"/>
  <c r="G20" i="3" s="1"/>
  <c r="J20" i="3" s="1"/>
  <c r="E20" i="5" s="1"/>
  <c r="F19" i="3"/>
  <c r="F17" i="3"/>
  <c r="J17" i="3" s="1"/>
  <c r="E17" i="5" s="1"/>
  <c r="G17" i="5" s="1"/>
  <c r="E17" i="10" s="1"/>
  <c r="F17" i="10" s="1"/>
  <c r="G17" i="10" s="1"/>
  <c r="F18" i="3"/>
  <c r="F15" i="3"/>
  <c r="F16" i="3"/>
  <c r="F14" i="3"/>
  <c r="F12" i="3"/>
  <c r="J12" i="3" s="1"/>
  <c r="E12" i="5" s="1"/>
  <c r="G12" i="5" s="1"/>
  <c r="E12" i="10" s="1"/>
  <c r="F12" i="10" s="1"/>
  <c r="G12" i="10" s="1"/>
  <c r="F13" i="3"/>
  <c r="F3" i="3"/>
  <c r="G2" i="1"/>
  <c r="D2" i="5" s="1"/>
  <c r="G2" i="5" s="1"/>
  <c r="O41" i="7" l="1"/>
  <c r="E41" i="9" s="1"/>
  <c r="O51" i="7"/>
  <c r="E51" i="9" s="1"/>
  <c r="G31" i="3"/>
  <c r="J31" i="3" s="1"/>
  <c r="E31" i="5" s="1"/>
  <c r="G89" i="3"/>
  <c r="J89" i="3" s="1"/>
  <c r="E89" i="5" s="1"/>
  <c r="G19" i="3"/>
  <c r="J19" i="3" s="1"/>
  <c r="E19" i="5" s="1"/>
  <c r="G39" i="3"/>
  <c r="J39" i="3" s="1"/>
  <c r="E39" i="5" s="1"/>
  <c r="G58" i="3"/>
  <c r="J58" i="3" s="1"/>
  <c r="E58" i="5" s="1"/>
  <c r="G75" i="3"/>
  <c r="J75" i="3" s="1"/>
  <c r="G13" i="3"/>
  <c r="J13" i="3" s="1"/>
  <c r="E13" i="5" s="1"/>
  <c r="J15" i="3"/>
  <c r="E15" i="5" s="1"/>
  <c r="J73" i="3"/>
  <c r="E73" i="5" s="1"/>
  <c r="O29" i="7"/>
  <c r="E29" i="9" s="1"/>
  <c r="G18" i="3"/>
  <c r="J18" i="3" s="1"/>
  <c r="E18" i="5" s="1"/>
  <c r="G21" i="3"/>
  <c r="J21" i="3" s="1"/>
  <c r="E21" i="5" s="1"/>
  <c r="G30" i="3"/>
  <c r="J30" i="3" s="1"/>
  <c r="E30" i="5" s="1"/>
  <c r="G38" i="3"/>
  <c r="J38" i="3" s="1"/>
  <c r="E38" i="5" s="1"/>
  <c r="G61" i="3"/>
  <c r="J61" i="3" s="1"/>
  <c r="E61" i="5" s="1"/>
  <c r="G74" i="3"/>
  <c r="J74" i="3" s="1"/>
  <c r="E74" i="5" s="1"/>
  <c r="G88" i="3"/>
  <c r="J88" i="3" s="1"/>
  <c r="E88" i="5" s="1"/>
  <c r="J67" i="3"/>
  <c r="E67" i="5" s="1"/>
  <c r="G67" i="5" s="1"/>
  <c r="E67" i="10" s="1"/>
  <c r="F67" i="10" s="1"/>
  <c r="G67" i="10" s="1"/>
  <c r="G68" i="3"/>
  <c r="J68" i="3" s="1"/>
  <c r="G14" i="3"/>
  <c r="J14" i="3" s="1"/>
  <c r="E14" i="5" s="1"/>
  <c r="G4" i="3"/>
  <c r="J4" i="3" s="1"/>
  <c r="E4" i="5" s="1"/>
  <c r="G3" i="3"/>
  <c r="J3" i="3" s="1"/>
  <c r="E3" i="5" s="1"/>
  <c r="G16" i="3"/>
  <c r="J16" i="3" s="1"/>
  <c r="E16" i="5" s="1"/>
  <c r="G28" i="3"/>
  <c r="J28" i="3" s="1"/>
  <c r="E28" i="5" s="1"/>
  <c r="G40" i="3"/>
  <c r="J40" i="3" s="1"/>
  <c r="E40" i="5" s="1"/>
  <c r="G59" i="3"/>
  <c r="J59" i="3" s="1"/>
  <c r="E59" i="5" s="1"/>
  <c r="G76" i="3"/>
  <c r="J76" i="3" s="1"/>
  <c r="E76" i="5" s="1"/>
  <c r="G90" i="3"/>
  <c r="J90" i="3" s="1"/>
  <c r="E90" i="5" s="1"/>
  <c r="O26" i="7"/>
  <c r="E26" i="9" s="1"/>
  <c r="D31" i="1"/>
  <c r="D31" i="6" s="1"/>
  <c r="F31" i="6" s="1"/>
  <c r="D30" i="1"/>
  <c r="D30" i="6" s="1"/>
  <c r="F30" i="6" s="1"/>
  <c r="D29" i="1"/>
  <c r="D29" i="6" s="1"/>
  <c r="F29" i="6" s="1"/>
  <c r="D28" i="1"/>
  <c r="D28" i="6" s="1"/>
  <c r="F28" i="6" s="1"/>
  <c r="D27" i="1"/>
  <c r="D27" i="6" s="1"/>
  <c r="F27" i="6" s="1"/>
  <c r="D22" i="1"/>
  <c r="D22" i="6" s="1"/>
  <c r="F22" i="6" s="1"/>
  <c r="D20" i="1"/>
  <c r="D20" i="6" s="1"/>
  <c r="F20" i="6" s="1"/>
  <c r="D21" i="1"/>
  <c r="D21" i="6" s="1"/>
  <c r="F21" i="6" s="1"/>
  <c r="D18" i="1"/>
  <c r="D18" i="6" s="1"/>
  <c r="F18" i="6" s="1"/>
  <c r="D19" i="1"/>
  <c r="D19" i="6" s="1"/>
  <c r="F19" i="6" s="1"/>
  <c r="G19" i="6" s="1"/>
  <c r="D19" i="9" s="1"/>
  <c r="G19" i="9" s="1"/>
  <c r="D17" i="1"/>
  <c r="D17" i="6" s="1"/>
  <c r="F17" i="6" s="1"/>
  <c r="D16" i="1"/>
  <c r="D16" i="6" s="1"/>
  <c r="F16" i="6" s="1"/>
  <c r="D15" i="1"/>
  <c r="D14" i="1"/>
  <c r="E15" i="1" s="1"/>
  <c r="G15" i="1" s="1"/>
  <c r="D15" i="5" s="1"/>
  <c r="D12" i="1"/>
  <c r="D12" i="6" s="1"/>
  <c r="F12" i="6" s="1"/>
  <c r="D13" i="1"/>
  <c r="D13" i="6" s="1"/>
  <c r="F13" i="6" s="1"/>
  <c r="D101" i="1"/>
  <c r="D101" i="6" s="1"/>
  <c r="F101" i="6" s="1"/>
  <c r="D100" i="1"/>
  <c r="D100" i="6" s="1"/>
  <c r="F100" i="6" s="1"/>
  <c r="D99" i="1"/>
  <c r="D99" i="6" s="1"/>
  <c r="F99" i="6" s="1"/>
  <c r="D98" i="1"/>
  <c r="D98" i="6" s="1"/>
  <c r="F98" i="6" s="1"/>
  <c r="D97" i="1"/>
  <c r="D97" i="6" s="1"/>
  <c r="F97" i="6" s="1"/>
  <c r="D96" i="1"/>
  <c r="D96" i="6" s="1"/>
  <c r="F96" i="6" s="1"/>
  <c r="D95" i="1"/>
  <c r="D95" i="6" s="1"/>
  <c r="F95" i="6" s="1"/>
  <c r="D94" i="1"/>
  <c r="D94" i="6" s="1"/>
  <c r="F94" i="6" s="1"/>
  <c r="D92" i="1"/>
  <c r="D92" i="6" s="1"/>
  <c r="F92" i="6" s="1"/>
  <c r="D93" i="1"/>
  <c r="D93" i="6" s="1"/>
  <c r="F93" i="6" s="1"/>
  <c r="G93" i="6" s="1"/>
  <c r="D93" i="9" s="1"/>
  <c r="G93" i="9" s="1"/>
  <c r="D91" i="1"/>
  <c r="D91" i="6" s="1"/>
  <c r="F91" i="6" s="1"/>
  <c r="D90" i="1"/>
  <c r="D90" i="6" s="1"/>
  <c r="F90" i="6" s="1"/>
  <c r="D89" i="1"/>
  <c r="D89" i="6" s="1"/>
  <c r="F89" i="6" s="1"/>
  <c r="D88" i="1"/>
  <c r="D88" i="6" s="1"/>
  <c r="F88" i="6" s="1"/>
  <c r="D87" i="1"/>
  <c r="D87" i="6" s="1"/>
  <c r="F87" i="6" s="1"/>
  <c r="D86" i="1"/>
  <c r="D86" i="6" s="1"/>
  <c r="F86" i="6" s="1"/>
  <c r="D85" i="1"/>
  <c r="D85" i="6" s="1"/>
  <c r="F85" i="6" s="1"/>
  <c r="D84" i="1"/>
  <c r="D84" i="6" s="1"/>
  <c r="F84" i="6" s="1"/>
  <c r="D83" i="1"/>
  <c r="D83" i="6" s="1"/>
  <c r="F83" i="6" s="1"/>
  <c r="D82" i="1"/>
  <c r="D82" i="6" s="1"/>
  <c r="F82" i="6" s="1"/>
  <c r="D81" i="1"/>
  <c r="D81" i="6" s="1"/>
  <c r="F81" i="6" s="1"/>
  <c r="D80" i="1"/>
  <c r="D80" i="6" s="1"/>
  <c r="F80" i="6" s="1"/>
  <c r="D79" i="1"/>
  <c r="D79" i="6" s="1"/>
  <c r="F79" i="6" s="1"/>
  <c r="D78" i="1"/>
  <c r="D78" i="6" s="1"/>
  <c r="F78" i="6" s="1"/>
  <c r="D77" i="1"/>
  <c r="D77" i="6" s="1"/>
  <c r="F77" i="6" s="1"/>
  <c r="D76" i="1"/>
  <c r="D76" i="6" s="1"/>
  <c r="F76" i="6" s="1"/>
  <c r="G76" i="6" s="1"/>
  <c r="D76" i="9" s="1"/>
  <c r="G76" i="9" s="1"/>
  <c r="D74" i="1"/>
  <c r="D74" i="6" s="1"/>
  <c r="F74" i="6" s="1"/>
  <c r="D73" i="1"/>
  <c r="D73" i="6" s="1"/>
  <c r="F73" i="6" s="1"/>
  <c r="D72" i="1"/>
  <c r="D72" i="6" s="1"/>
  <c r="F72" i="6" s="1"/>
  <c r="D71" i="1"/>
  <c r="D71" i="6" s="1"/>
  <c r="F71" i="6" s="1"/>
  <c r="D70" i="1"/>
  <c r="D69" i="1"/>
  <c r="D69" i="6" s="1"/>
  <c r="F69" i="6" s="1"/>
  <c r="F68" i="6"/>
  <c r="D67" i="1"/>
  <c r="D67" i="6" s="1"/>
  <c r="F67" i="6" s="1"/>
  <c r="D66" i="1"/>
  <c r="D66" i="6" s="1"/>
  <c r="F66" i="6" s="1"/>
  <c r="D65" i="1"/>
  <c r="D65" i="6" s="1"/>
  <c r="F65" i="6" s="1"/>
  <c r="D64" i="1"/>
  <c r="D64" i="6" s="1"/>
  <c r="F64" i="6" s="1"/>
  <c r="D63" i="1"/>
  <c r="D63" i="6" s="1"/>
  <c r="F63" i="6" s="1"/>
  <c r="D62" i="1"/>
  <c r="D62" i="6" s="1"/>
  <c r="F62" i="6" s="1"/>
  <c r="D57" i="1"/>
  <c r="D58" i="1"/>
  <c r="D59" i="1"/>
  <c r="D59" i="6" s="1"/>
  <c r="F59" i="6" s="1"/>
  <c r="D60" i="1"/>
  <c r="D60" i="6" s="1"/>
  <c r="F60" i="6" s="1"/>
  <c r="D61" i="1"/>
  <c r="D61" i="6" s="1"/>
  <c r="F61" i="6" s="1"/>
  <c r="D56" i="1"/>
  <c r="D56" i="6" s="1"/>
  <c r="F56" i="6" s="1"/>
  <c r="D55" i="1"/>
  <c r="D55" i="6" s="1"/>
  <c r="D54" i="1"/>
  <c r="D53" i="1"/>
  <c r="D53" i="6" s="1"/>
  <c r="F53" i="6" s="1"/>
  <c r="D52" i="1"/>
  <c r="D52" i="6" s="1"/>
  <c r="F52" i="6" s="1"/>
  <c r="D51" i="1"/>
  <c r="D51" i="6" s="1"/>
  <c r="F51" i="6" s="1"/>
  <c r="D50" i="1"/>
  <c r="D50" i="6" s="1"/>
  <c r="F50" i="6" s="1"/>
  <c r="D47" i="1"/>
  <c r="D47" i="6" s="1"/>
  <c r="F47" i="6" s="1"/>
  <c r="D49" i="1"/>
  <c r="D49" i="6" s="1"/>
  <c r="F49" i="6" s="1"/>
  <c r="D48" i="1"/>
  <c r="D48" i="6" s="1"/>
  <c r="F48" i="6" s="1"/>
  <c r="D46" i="1"/>
  <c r="D46" i="6" s="1"/>
  <c r="F46" i="6" s="1"/>
  <c r="D45" i="1"/>
  <c r="D45" i="6" s="1"/>
  <c r="F45" i="6" s="1"/>
  <c r="D44" i="1"/>
  <c r="D44" i="6" s="1"/>
  <c r="F44" i="6" s="1"/>
  <c r="D42" i="1"/>
  <c r="D42" i="6" s="1"/>
  <c r="F42" i="6" s="1"/>
  <c r="D43" i="1"/>
  <c r="D43" i="6" s="1"/>
  <c r="F43" i="6" s="1"/>
  <c r="D41" i="1"/>
  <c r="D41" i="6" s="1"/>
  <c r="F41" i="6" s="1"/>
  <c r="D40" i="1"/>
  <c r="D40" i="6" s="1"/>
  <c r="F40" i="6" s="1"/>
  <c r="D39" i="1"/>
  <c r="D39" i="6" s="1"/>
  <c r="F39" i="6" s="1"/>
  <c r="D38" i="1"/>
  <c r="D38" i="6" s="1"/>
  <c r="F38" i="6" s="1"/>
  <c r="D37" i="1"/>
  <c r="D37" i="6" s="1"/>
  <c r="F37" i="6" s="1"/>
  <c r="D36" i="1"/>
  <c r="D36" i="6" s="1"/>
  <c r="F36" i="6" s="1"/>
  <c r="D35" i="1"/>
  <c r="D35" i="6" s="1"/>
  <c r="F35" i="6" s="1"/>
  <c r="D34" i="1"/>
  <c r="D34" i="6" s="1"/>
  <c r="F34" i="6" s="1"/>
  <c r="D33" i="1"/>
  <c r="D33" i="6" s="1"/>
  <c r="F33" i="6" s="1"/>
  <c r="D32" i="1"/>
  <c r="D32" i="6" s="1"/>
  <c r="F32" i="6" s="1"/>
  <c r="E31" i="1"/>
  <c r="G31" i="1" s="1"/>
  <c r="D31" i="5" s="1"/>
  <c r="G31" i="5" s="1"/>
  <c r="E31" i="10" s="1"/>
  <c r="D26" i="1"/>
  <c r="D26" i="6" s="1"/>
  <c r="F26" i="6" s="1"/>
  <c r="D25" i="1"/>
  <c r="D25" i="6" s="1"/>
  <c r="F25" i="6" s="1"/>
  <c r="D24" i="1"/>
  <c r="D24" i="6" s="1"/>
  <c r="F24" i="6" s="1"/>
  <c r="D23" i="1"/>
  <c r="D23" i="6" s="1"/>
  <c r="F23" i="6" s="1"/>
  <c r="E16" i="1"/>
  <c r="G16" i="1" s="1"/>
  <c r="D16" i="5" s="1"/>
  <c r="G16" i="5" s="1"/>
  <c r="E16" i="10" s="1"/>
  <c r="D11" i="1"/>
  <c r="D11" i="6" s="1"/>
  <c r="F11" i="6" s="1"/>
  <c r="D10" i="1"/>
  <c r="D10" i="6" s="1"/>
  <c r="F10" i="6" s="1"/>
  <c r="D9" i="1"/>
  <c r="D9" i="6" s="1"/>
  <c r="F9" i="6" s="1"/>
  <c r="D8" i="1"/>
  <c r="D8" i="6" s="1"/>
  <c r="F8" i="6" s="1"/>
  <c r="D7" i="1"/>
  <c r="D7" i="6" s="1"/>
  <c r="F7" i="6" s="1"/>
  <c r="D6" i="1"/>
  <c r="D6" i="6" s="1"/>
  <c r="F6" i="6" s="1"/>
  <c r="D5" i="1"/>
  <c r="D5" i="6" s="1"/>
  <c r="F5" i="6" s="1"/>
  <c r="D4" i="1"/>
  <c r="D4" i="6" s="1"/>
  <c r="D3" i="1"/>
  <c r="F4" i="2"/>
  <c r="H4" i="9" s="1"/>
  <c r="F5" i="2"/>
  <c r="H5" i="9" s="1"/>
  <c r="F6" i="2"/>
  <c r="H6" i="9" s="1"/>
  <c r="F8" i="2"/>
  <c r="H8" i="9" s="1"/>
  <c r="F9" i="2"/>
  <c r="H9" i="9" s="1"/>
  <c r="F10" i="2"/>
  <c r="H10" i="9" s="1"/>
  <c r="F11" i="2"/>
  <c r="H11" i="9" s="1"/>
  <c r="F13" i="2"/>
  <c r="H13" i="9" s="1"/>
  <c r="F14" i="2"/>
  <c r="H14" i="9" s="1"/>
  <c r="F15" i="2"/>
  <c r="H15" i="9" s="1"/>
  <c r="F16" i="2"/>
  <c r="H16" i="9" s="1"/>
  <c r="F18" i="2"/>
  <c r="H18" i="9" s="1"/>
  <c r="F19" i="2"/>
  <c r="H19" i="9" s="1"/>
  <c r="F20" i="2"/>
  <c r="H20" i="9" s="1"/>
  <c r="F21" i="2"/>
  <c r="H21" i="9" s="1"/>
  <c r="F23" i="2"/>
  <c r="H23" i="9" s="1"/>
  <c r="F24" i="2"/>
  <c r="H24" i="9" s="1"/>
  <c r="F25" i="2"/>
  <c r="H25" i="9" s="1"/>
  <c r="F26" i="2"/>
  <c r="H26" i="9" s="1"/>
  <c r="F28" i="2"/>
  <c r="H28" i="9" s="1"/>
  <c r="F29" i="2"/>
  <c r="H29" i="9" s="1"/>
  <c r="F30" i="2"/>
  <c r="H30" i="9" s="1"/>
  <c r="F31" i="2"/>
  <c r="H31" i="9" s="1"/>
  <c r="F33" i="2"/>
  <c r="H33" i="9" s="1"/>
  <c r="F34" i="2"/>
  <c r="H34" i="9" s="1"/>
  <c r="F35" i="2"/>
  <c r="H35" i="9" s="1"/>
  <c r="F36" i="2"/>
  <c r="H36" i="9" s="1"/>
  <c r="F38" i="2"/>
  <c r="H38" i="9" s="1"/>
  <c r="F39" i="2"/>
  <c r="H39" i="9" s="1"/>
  <c r="F40" i="2"/>
  <c r="H40" i="9" s="1"/>
  <c r="F41" i="2"/>
  <c r="H41" i="9" s="1"/>
  <c r="F43" i="2"/>
  <c r="H43" i="9" s="1"/>
  <c r="F44" i="2"/>
  <c r="H44" i="9" s="1"/>
  <c r="F45" i="2"/>
  <c r="H45" i="9" s="1"/>
  <c r="F46" i="2"/>
  <c r="H46" i="9" s="1"/>
  <c r="F48" i="2"/>
  <c r="H48" i="9" s="1"/>
  <c r="F49" i="2"/>
  <c r="H49" i="9" s="1"/>
  <c r="F50" i="2"/>
  <c r="H50" i="9" s="1"/>
  <c r="F51" i="2"/>
  <c r="H51" i="9" s="1"/>
  <c r="F53" i="2"/>
  <c r="H53" i="9" s="1"/>
  <c r="F54" i="2"/>
  <c r="H54" i="9" s="1"/>
  <c r="F55" i="2"/>
  <c r="H55" i="9" s="1"/>
  <c r="F56" i="2"/>
  <c r="H56" i="9" s="1"/>
  <c r="F58" i="2"/>
  <c r="H58" i="9" s="1"/>
  <c r="F59" i="2"/>
  <c r="H59" i="9" s="1"/>
  <c r="F60" i="2"/>
  <c r="H60" i="9" s="1"/>
  <c r="F61" i="2"/>
  <c r="H61" i="9" s="1"/>
  <c r="F63" i="2"/>
  <c r="H63" i="9" s="1"/>
  <c r="F64" i="2"/>
  <c r="H64" i="9" s="1"/>
  <c r="F65" i="2"/>
  <c r="H65" i="9" s="1"/>
  <c r="F66" i="2"/>
  <c r="H66" i="9" s="1"/>
  <c r="F68" i="2"/>
  <c r="H68" i="9" s="1"/>
  <c r="F69" i="2"/>
  <c r="H69" i="9" s="1"/>
  <c r="F70" i="2"/>
  <c r="H70" i="9" s="1"/>
  <c r="F71" i="2"/>
  <c r="H71" i="9" s="1"/>
  <c r="F73" i="2"/>
  <c r="H73" i="9" s="1"/>
  <c r="F74" i="2"/>
  <c r="H74" i="9" s="1"/>
  <c r="F75" i="2"/>
  <c r="H75" i="9" s="1"/>
  <c r="F76" i="2"/>
  <c r="H76" i="9" s="1"/>
  <c r="F78" i="2"/>
  <c r="H78" i="9" s="1"/>
  <c r="F79" i="2"/>
  <c r="H79" i="9" s="1"/>
  <c r="F80" i="2"/>
  <c r="H80" i="9" s="1"/>
  <c r="F81" i="2"/>
  <c r="H81" i="9" s="1"/>
  <c r="F83" i="2"/>
  <c r="H83" i="9" s="1"/>
  <c r="F84" i="2"/>
  <c r="H84" i="9" s="1"/>
  <c r="F85" i="2"/>
  <c r="H85" i="9" s="1"/>
  <c r="F86" i="2"/>
  <c r="H86" i="9" s="1"/>
  <c r="F88" i="2"/>
  <c r="H88" i="9" s="1"/>
  <c r="F89" i="2"/>
  <c r="H89" i="9" s="1"/>
  <c r="F90" i="2"/>
  <c r="H90" i="9" s="1"/>
  <c r="F91" i="2"/>
  <c r="H91" i="9" s="1"/>
  <c r="F93" i="2"/>
  <c r="H93" i="9" s="1"/>
  <c r="F94" i="2"/>
  <c r="H94" i="9" s="1"/>
  <c r="F95" i="2"/>
  <c r="H95" i="9" s="1"/>
  <c r="F96" i="2"/>
  <c r="H96" i="9" s="1"/>
  <c r="F98" i="2"/>
  <c r="H98" i="9" s="1"/>
  <c r="F99" i="2"/>
  <c r="H99" i="9" s="1"/>
  <c r="F100" i="2"/>
  <c r="H100" i="9" s="1"/>
  <c r="F101" i="2"/>
  <c r="H101" i="9" s="1"/>
  <c r="F3" i="2"/>
  <c r="H3" i="9" s="1"/>
  <c r="G15" i="5" l="1"/>
  <c r="E15" i="10" s="1"/>
  <c r="G96" i="6"/>
  <c r="D96" i="9" s="1"/>
  <c r="G96" i="9" s="1"/>
  <c r="I96" i="9" s="1"/>
  <c r="D96" i="10" s="1"/>
  <c r="G45" i="6"/>
  <c r="D45" i="9" s="1"/>
  <c r="G45" i="9" s="1"/>
  <c r="I45" i="9" s="1"/>
  <c r="D45" i="10" s="1"/>
  <c r="E55" i="1"/>
  <c r="G55" i="1" s="1"/>
  <c r="D55" i="5" s="1"/>
  <c r="G55" i="5" s="1"/>
  <c r="E55" i="10" s="1"/>
  <c r="E58" i="1"/>
  <c r="G58" i="1" s="1"/>
  <c r="D58" i="5" s="1"/>
  <c r="G58" i="5" s="1"/>
  <c r="E58" i="10" s="1"/>
  <c r="E11" i="1"/>
  <c r="G11" i="1" s="1"/>
  <c r="D11" i="5" s="1"/>
  <c r="G11" i="5" s="1"/>
  <c r="E11" i="10" s="1"/>
  <c r="E21" i="1"/>
  <c r="G21" i="1" s="1"/>
  <c r="D21" i="5" s="1"/>
  <c r="G21" i="5" s="1"/>
  <c r="E21" i="10" s="1"/>
  <c r="G61" i="6"/>
  <c r="D61" i="9" s="1"/>
  <c r="G61" i="9" s="1"/>
  <c r="I61" i="9" s="1"/>
  <c r="D61" i="10" s="1"/>
  <c r="G73" i="6"/>
  <c r="D73" i="9" s="1"/>
  <c r="G73" i="9" s="1"/>
  <c r="I73" i="9" s="1"/>
  <c r="D73" i="10" s="1"/>
  <c r="G24" i="6"/>
  <c r="D24" i="9" s="1"/>
  <c r="G24" i="9" s="1"/>
  <c r="I24" i="9" s="1"/>
  <c r="D24" i="10" s="1"/>
  <c r="D70" i="6"/>
  <c r="F70" i="6" s="1"/>
  <c r="G70" i="6" s="1"/>
  <c r="D70" i="9" s="1"/>
  <c r="G70" i="9" s="1"/>
  <c r="I70" i="9" s="1"/>
  <c r="D70" i="10" s="1"/>
  <c r="G9" i="6"/>
  <c r="D9" i="9" s="1"/>
  <c r="G9" i="9" s="1"/>
  <c r="I9" i="9" s="1"/>
  <c r="D9" i="10" s="1"/>
  <c r="G25" i="6"/>
  <c r="E30" i="1"/>
  <c r="G30" i="1" s="1"/>
  <c r="D30" i="5" s="1"/>
  <c r="G30" i="5" s="1"/>
  <c r="E30" i="10" s="1"/>
  <c r="G39" i="6"/>
  <c r="D39" i="9" s="1"/>
  <c r="G39" i="9" s="1"/>
  <c r="I39" i="9" s="1"/>
  <c r="D39" i="10" s="1"/>
  <c r="G53" i="6"/>
  <c r="D53" i="9" s="1"/>
  <c r="G53" i="9" s="1"/>
  <c r="I53" i="9" s="1"/>
  <c r="D53" i="10" s="1"/>
  <c r="G100" i="6"/>
  <c r="D100" i="9" s="1"/>
  <c r="G100" i="9" s="1"/>
  <c r="G26" i="6"/>
  <c r="D26" i="9" s="1"/>
  <c r="G26" i="9" s="1"/>
  <c r="I26" i="9" s="1"/>
  <c r="D26" i="10" s="1"/>
  <c r="E19" i="1"/>
  <c r="G19" i="1" s="1"/>
  <c r="D19" i="5" s="1"/>
  <c r="G19" i="5" s="1"/>
  <c r="E19" i="10" s="1"/>
  <c r="E71" i="1"/>
  <c r="G71" i="1" s="1"/>
  <c r="D71" i="5" s="1"/>
  <c r="G71" i="5" s="1"/>
  <c r="E71" i="10" s="1"/>
  <c r="G94" i="6"/>
  <c r="D94" i="9" s="1"/>
  <c r="G94" i="9" s="1"/>
  <c r="I94" i="9" s="1"/>
  <c r="D94" i="10" s="1"/>
  <c r="G18" i="6"/>
  <c r="D18" i="9" s="1"/>
  <c r="G18" i="9" s="1"/>
  <c r="I18" i="9" s="1"/>
  <c r="D18" i="10" s="1"/>
  <c r="E39" i="1"/>
  <c r="G39" i="1" s="1"/>
  <c r="D39" i="5" s="1"/>
  <c r="G39" i="5" s="1"/>
  <c r="E39" i="10" s="1"/>
  <c r="E6" i="1"/>
  <c r="G6" i="1" s="1"/>
  <c r="D6" i="5" s="1"/>
  <c r="G6" i="5" s="1"/>
  <c r="E6" i="10" s="1"/>
  <c r="F6" i="10" s="1"/>
  <c r="G6" i="10" s="1"/>
  <c r="E20" i="1"/>
  <c r="G20" i="1" s="1"/>
  <c r="D20" i="5" s="1"/>
  <c r="G20" i="5" s="1"/>
  <c r="E20" i="10" s="1"/>
  <c r="G35" i="6"/>
  <c r="D35" i="9" s="1"/>
  <c r="G35" i="9" s="1"/>
  <c r="I35" i="9" s="1"/>
  <c r="D35" i="10" s="1"/>
  <c r="G63" i="6"/>
  <c r="D63" i="9" s="1"/>
  <c r="G63" i="9" s="1"/>
  <c r="I63" i="9" s="1"/>
  <c r="D63" i="10" s="1"/>
  <c r="G78" i="6"/>
  <c r="D78" i="9" s="1"/>
  <c r="G78" i="9" s="1"/>
  <c r="I78" i="9" s="1"/>
  <c r="D78" i="10" s="1"/>
  <c r="G86" i="6"/>
  <c r="D86" i="9" s="1"/>
  <c r="G86" i="9" s="1"/>
  <c r="G90" i="6"/>
  <c r="D90" i="9" s="1"/>
  <c r="G90" i="9" s="1"/>
  <c r="I90" i="9" s="1"/>
  <c r="D90" i="10" s="1"/>
  <c r="E96" i="1"/>
  <c r="G96" i="1" s="1"/>
  <c r="D96" i="5" s="1"/>
  <c r="G96" i="5" s="1"/>
  <c r="E96" i="10" s="1"/>
  <c r="G30" i="6"/>
  <c r="D30" i="9" s="1"/>
  <c r="G30" i="9" s="1"/>
  <c r="I30" i="9" s="1"/>
  <c r="D30" i="10" s="1"/>
  <c r="G23" i="6"/>
  <c r="D23" i="9" s="1"/>
  <c r="G23" i="9" s="1"/>
  <c r="I23" i="9" s="1"/>
  <c r="D23" i="10" s="1"/>
  <c r="E18" i="1"/>
  <c r="G18" i="1" s="1"/>
  <c r="D18" i="5" s="1"/>
  <c r="G18" i="5" s="1"/>
  <c r="E18" i="10" s="1"/>
  <c r="E26" i="1"/>
  <c r="G26" i="1" s="1"/>
  <c r="D26" i="5" s="1"/>
  <c r="G26" i="5" s="1"/>
  <c r="E26" i="10" s="1"/>
  <c r="G33" i="6"/>
  <c r="D33" i="9" s="1"/>
  <c r="G33" i="9" s="1"/>
  <c r="I33" i="9" s="1"/>
  <c r="D33" i="10" s="1"/>
  <c r="G41" i="6"/>
  <c r="D41" i="9" s="1"/>
  <c r="G41" i="9" s="1"/>
  <c r="G44" i="6"/>
  <c r="D44" i="9" s="1"/>
  <c r="G44" i="9" s="1"/>
  <c r="I44" i="9" s="1"/>
  <c r="D44" i="10" s="1"/>
  <c r="E51" i="1"/>
  <c r="G51" i="1" s="1"/>
  <c r="D51" i="5" s="1"/>
  <c r="G51" i="5" s="1"/>
  <c r="E51" i="10" s="1"/>
  <c r="E59" i="1"/>
  <c r="G59" i="1" s="1"/>
  <c r="D59" i="5" s="1"/>
  <c r="G59" i="5" s="1"/>
  <c r="E59" i="10" s="1"/>
  <c r="G65" i="6"/>
  <c r="D65" i="9" s="1"/>
  <c r="G65" i="9" s="1"/>
  <c r="I65" i="9" s="1"/>
  <c r="D65" i="10" s="1"/>
  <c r="E76" i="1"/>
  <c r="G76" i="1" s="1"/>
  <c r="D76" i="5" s="1"/>
  <c r="G76" i="5" s="1"/>
  <c r="E76" i="10" s="1"/>
  <c r="G80" i="6"/>
  <c r="D80" i="9" s="1"/>
  <c r="G80" i="9" s="1"/>
  <c r="I80" i="9" s="1"/>
  <c r="D80" i="10" s="1"/>
  <c r="G84" i="6"/>
  <c r="D84" i="9" s="1"/>
  <c r="G84" i="9" s="1"/>
  <c r="I84" i="9" s="1"/>
  <c r="D84" i="10" s="1"/>
  <c r="G88" i="6"/>
  <c r="D88" i="9" s="1"/>
  <c r="G88" i="9" s="1"/>
  <c r="I88" i="9" s="1"/>
  <c r="D88" i="10" s="1"/>
  <c r="E85" i="1"/>
  <c r="G85" i="1" s="1"/>
  <c r="D85" i="5" s="1"/>
  <c r="G85" i="5" s="1"/>
  <c r="E85" i="10" s="1"/>
  <c r="G98" i="6"/>
  <c r="D98" i="9" s="1"/>
  <c r="G98" i="9" s="1"/>
  <c r="I98" i="9" s="1"/>
  <c r="D98" i="10" s="1"/>
  <c r="G13" i="6"/>
  <c r="D13" i="9" s="1"/>
  <c r="G13" i="9" s="1"/>
  <c r="I13" i="9" s="1"/>
  <c r="D13" i="10" s="1"/>
  <c r="G21" i="6"/>
  <c r="D21" i="9" s="1"/>
  <c r="G21" i="9" s="1"/>
  <c r="I21" i="9" s="1"/>
  <c r="D21" i="10" s="1"/>
  <c r="G28" i="6"/>
  <c r="D28" i="9" s="1"/>
  <c r="G28" i="9" s="1"/>
  <c r="I28" i="9" s="1"/>
  <c r="D28" i="10" s="1"/>
  <c r="G69" i="6"/>
  <c r="D69" i="9" s="1"/>
  <c r="G69" i="9" s="1"/>
  <c r="I69" i="9" s="1"/>
  <c r="D69" i="10" s="1"/>
  <c r="E4" i="1"/>
  <c r="G4" i="1" s="1"/>
  <c r="D4" i="5" s="1"/>
  <c r="G4" i="5" s="1"/>
  <c r="I41" i="9"/>
  <c r="D41" i="10" s="1"/>
  <c r="E45" i="1"/>
  <c r="G45" i="1" s="1"/>
  <c r="D45" i="5" s="1"/>
  <c r="G45" i="5" s="1"/>
  <c r="E45" i="10" s="1"/>
  <c r="D58" i="6"/>
  <c r="F58" i="6" s="1"/>
  <c r="D57" i="6"/>
  <c r="F57" i="6" s="1"/>
  <c r="E78" i="1"/>
  <c r="G78" i="1" s="1"/>
  <c r="G78" i="5" s="1"/>
  <c r="E78" i="10" s="1"/>
  <c r="E90" i="1"/>
  <c r="G90" i="1" s="1"/>
  <c r="D90" i="5" s="1"/>
  <c r="G90" i="5" s="1"/>
  <c r="E90" i="10" s="1"/>
  <c r="E98" i="1"/>
  <c r="G98" i="1" s="1"/>
  <c r="D98" i="5" s="1"/>
  <c r="G98" i="5" s="1"/>
  <c r="E98" i="10" s="1"/>
  <c r="G5" i="6"/>
  <c r="D5" i="9" s="1"/>
  <c r="G5" i="9" s="1"/>
  <c r="I5" i="9" s="1"/>
  <c r="D5" i="10" s="1"/>
  <c r="G6" i="6"/>
  <c r="D6" i="9" s="1"/>
  <c r="G6" i="9" s="1"/>
  <c r="I6" i="9" s="1"/>
  <c r="D6" i="10" s="1"/>
  <c r="G11" i="6"/>
  <c r="D11" i="9" s="1"/>
  <c r="G11" i="9" s="1"/>
  <c r="I11" i="9" s="1"/>
  <c r="D11" i="10" s="1"/>
  <c r="G10" i="6"/>
  <c r="D10" i="9" s="1"/>
  <c r="G10" i="9" s="1"/>
  <c r="I10" i="9" s="1"/>
  <c r="D10" i="10" s="1"/>
  <c r="E10" i="1"/>
  <c r="G10" i="1" s="1"/>
  <c r="D10" i="5" s="1"/>
  <c r="G10" i="5" s="1"/>
  <c r="E10" i="10" s="1"/>
  <c r="D25" i="9"/>
  <c r="G25" i="9" s="1"/>
  <c r="I25" i="9" s="1"/>
  <c r="D25" i="10" s="1"/>
  <c r="E25" i="1"/>
  <c r="G25" i="1" s="1"/>
  <c r="D25" i="5" s="1"/>
  <c r="G25" i="5" s="1"/>
  <c r="E25" i="10" s="1"/>
  <c r="G34" i="6"/>
  <c r="D34" i="9" s="1"/>
  <c r="G34" i="9" s="1"/>
  <c r="I34" i="9" s="1"/>
  <c r="D34" i="10" s="1"/>
  <c r="E36" i="1"/>
  <c r="G36" i="1" s="1"/>
  <c r="D36" i="5" s="1"/>
  <c r="G36" i="5" s="1"/>
  <c r="E36" i="10" s="1"/>
  <c r="G38" i="6"/>
  <c r="D38" i="9" s="1"/>
  <c r="G38" i="9" s="1"/>
  <c r="I38" i="9" s="1"/>
  <c r="D38" i="10" s="1"/>
  <c r="E38" i="1"/>
  <c r="G38" i="1" s="1"/>
  <c r="D38" i="5" s="1"/>
  <c r="G38" i="5" s="1"/>
  <c r="E38" i="10" s="1"/>
  <c r="G43" i="6"/>
  <c r="D43" i="9" s="1"/>
  <c r="G43" i="9" s="1"/>
  <c r="I43" i="9" s="1"/>
  <c r="D43" i="10" s="1"/>
  <c r="G46" i="6"/>
  <c r="D46" i="9" s="1"/>
  <c r="G46" i="9" s="1"/>
  <c r="I46" i="9" s="1"/>
  <c r="D46" i="10" s="1"/>
  <c r="E44" i="1"/>
  <c r="G44" i="1" s="1"/>
  <c r="D44" i="5" s="1"/>
  <c r="G44" i="5" s="1"/>
  <c r="E44" i="10" s="1"/>
  <c r="G51" i="6"/>
  <c r="D51" i="9" s="1"/>
  <c r="G51" i="9" s="1"/>
  <c r="I51" i="9" s="1"/>
  <c r="D51" i="10" s="1"/>
  <c r="G50" i="6"/>
  <c r="D50" i="9" s="1"/>
  <c r="G50" i="9" s="1"/>
  <c r="I50" i="9" s="1"/>
  <c r="D50" i="10" s="1"/>
  <c r="E50" i="1"/>
  <c r="G50" i="1" s="1"/>
  <c r="D50" i="5" s="1"/>
  <c r="G50" i="5" s="1"/>
  <c r="E50" i="10" s="1"/>
  <c r="D54" i="6"/>
  <c r="F54" i="6" s="1"/>
  <c r="G54" i="6" s="1"/>
  <c r="D54" i="9" s="1"/>
  <c r="G54" i="9" s="1"/>
  <c r="I54" i="9" s="1"/>
  <c r="D54" i="10" s="1"/>
  <c r="F55" i="6"/>
  <c r="G56" i="6" s="1"/>
  <c r="D56" i="9" s="1"/>
  <c r="G56" i="9" s="1"/>
  <c r="I56" i="9" s="1"/>
  <c r="D56" i="10" s="1"/>
  <c r="E56" i="1"/>
  <c r="G56" i="1" s="1"/>
  <c r="D56" i="5" s="1"/>
  <c r="G56" i="5" s="1"/>
  <c r="E56" i="10" s="1"/>
  <c r="G60" i="6"/>
  <c r="D60" i="9" s="1"/>
  <c r="G60" i="9" s="1"/>
  <c r="I60" i="9" s="1"/>
  <c r="D60" i="10" s="1"/>
  <c r="G66" i="6"/>
  <c r="D66" i="9" s="1"/>
  <c r="G66" i="9" s="1"/>
  <c r="I66" i="9" s="1"/>
  <c r="D66" i="10" s="1"/>
  <c r="E64" i="1"/>
  <c r="G64" i="1" s="1"/>
  <c r="D64" i="5" s="1"/>
  <c r="G64" i="5" s="1"/>
  <c r="E64" i="10" s="1"/>
  <c r="E70" i="1"/>
  <c r="G70" i="1" s="1"/>
  <c r="G70" i="5" s="1"/>
  <c r="E70" i="10" s="1"/>
  <c r="G74" i="6"/>
  <c r="D74" i="9" s="1"/>
  <c r="G74" i="9" s="1"/>
  <c r="I74" i="9" s="1"/>
  <c r="D74" i="10" s="1"/>
  <c r="G75" i="6"/>
  <c r="D75" i="9" s="1"/>
  <c r="G75" i="9" s="1"/>
  <c r="I75" i="9" s="1"/>
  <c r="D75" i="10" s="1"/>
  <c r="E75" i="1"/>
  <c r="G75" i="1" s="1"/>
  <c r="G75" i="5" s="1"/>
  <c r="E75" i="10" s="1"/>
  <c r="G79" i="6"/>
  <c r="D79" i="9" s="1"/>
  <c r="G79" i="9" s="1"/>
  <c r="I79" i="9" s="1"/>
  <c r="D79" i="10" s="1"/>
  <c r="E81" i="1"/>
  <c r="G81" i="1" s="1"/>
  <c r="G81" i="5" s="1"/>
  <c r="E81" i="10" s="1"/>
  <c r="G83" i="6"/>
  <c r="D83" i="9" s="1"/>
  <c r="G83" i="9" s="1"/>
  <c r="I83" i="9" s="1"/>
  <c r="D83" i="10" s="1"/>
  <c r="G91" i="6"/>
  <c r="D91" i="9" s="1"/>
  <c r="G91" i="9" s="1"/>
  <c r="I91" i="9" s="1"/>
  <c r="D91" i="10" s="1"/>
  <c r="E84" i="1"/>
  <c r="G84" i="1" s="1"/>
  <c r="D84" i="5" s="1"/>
  <c r="G84" i="5" s="1"/>
  <c r="E84" i="10" s="1"/>
  <c r="E89" i="1"/>
  <c r="G89" i="1" s="1"/>
  <c r="D89" i="5" s="1"/>
  <c r="G89" i="5" s="1"/>
  <c r="E89" i="10" s="1"/>
  <c r="G95" i="6"/>
  <c r="D95" i="9" s="1"/>
  <c r="G95" i="9" s="1"/>
  <c r="I95" i="9" s="1"/>
  <c r="D95" i="10" s="1"/>
  <c r="E95" i="1"/>
  <c r="G95" i="1" s="1"/>
  <c r="D95" i="5" s="1"/>
  <c r="G95" i="5" s="1"/>
  <c r="E95" i="10" s="1"/>
  <c r="G99" i="6"/>
  <c r="D99" i="9" s="1"/>
  <c r="G99" i="9" s="1"/>
  <c r="I99" i="9" s="1"/>
  <c r="D99" i="10" s="1"/>
  <c r="E100" i="1"/>
  <c r="G100" i="1" s="1"/>
  <c r="D100" i="5" s="1"/>
  <c r="G100" i="5" s="1"/>
  <c r="E100" i="10" s="1"/>
  <c r="G20" i="6"/>
  <c r="D20" i="9" s="1"/>
  <c r="G20" i="9" s="1"/>
  <c r="I20" i="9" s="1"/>
  <c r="D20" i="10" s="1"/>
  <c r="G29" i="6"/>
  <c r="D29" i="9" s="1"/>
  <c r="G29" i="9" s="1"/>
  <c r="I29" i="9" s="1"/>
  <c r="D29" i="10" s="1"/>
  <c r="E65" i="1"/>
  <c r="G65" i="1" s="1"/>
  <c r="D65" i="5" s="1"/>
  <c r="G65" i="5" s="1"/>
  <c r="E65" i="10" s="1"/>
  <c r="E61" i="1"/>
  <c r="G61" i="1" s="1"/>
  <c r="D61" i="5" s="1"/>
  <c r="G61" i="5" s="1"/>
  <c r="E61" i="10" s="1"/>
  <c r="E63" i="1"/>
  <c r="G63" i="1" s="1"/>
  <c r="D63" i="5" s="1"/>
  <c r="G63" i="5" s="1"/>
  <c r="E63" i="10" s="1"/>
  <c r="E69" i="1"/>
  <c r="G69" i="1" s="1"/>
  <c r="G69" i="5" s="1"/>
  <c r="E69" i="10" s="1"/>
  <c r="I76" i="9"/>
  <c r="D76" i="10" s="1"/>
  <c r="E74" i="1"/>
  <c r="G74" i="1" s="1"/>
  <c r="D74" i="5" s="1"/>
  <c r="G74" i="5" s="1"/>
  <c r="E74" i="10" s="1"/>
  <c r="E80" i="1"/>
  <c r="G80" i="1" s="1"/>
  <c r="D80" i="5" s="1"/>
  <c r="G80" i="5" s="1"/>
  <c r="E80" i="10" s="1"/>
  <c r="E83" i="1"/>
  <c r="G83" i="1" s="1"/>
  <c r="D83" i="5" s="1"/>
  <c r="G83" i="5" s="1"/>
  <c r="E83" i="10" s="1"/>
  <c r="E88" i="1"/>
  <c r="G88" i="1" s="1"/>
  <c r="D88" i="5" s="1"/>
  <c r="G88" i="5" s="1"/>
  <c r="E88" i="10" s="1"/>
  <c r="I93" i="9"/>
  <c r="D93" i="10" s="1"/>
  <c r="E94" i="1"/>
  <c r="G94" i="1" s="1"/>
  <c r="D94" i="5" s="1"/>
  <c r="G94" i="5" s="1"/>
  <c r="E94" i="10" s="1"/>
  <c r="I100" i="9"/>
  <c r="D100" i="10" s="1"/>
  <c r="E99" i="1"/>
  <c r="G99" i="1" s="1"/>
  <c r="D99" i="5" s="1"/>
  <c r="G99" i="5" s="1"/>
  <c r="E99" i="10" s="1"/>
  <c r="D15" i="6"/>
  <c r="F15" i="6" s="1"/>
  <c r="G16" i="6" s="1"/>
  <c r="D16" i="9" s="1"/>
  <c r="G16" i="9" s="1"/>
  <c r="I16" i="9" s="1"/>
  <c r="D16" i="10" s="1"/>
  <c r="F16" i="10" s="1"/>
  <c r="G16" i="10" s="1"/>
  <c r="D14" i="6"/>
  <c r="F14" i="6" s="1"/>
  <c r="G14" i="6" s="1"/>
  <c r="D14" i="9" s="1"/>
  <c r="G14" i="9" s="1"/>
  <c r="I14" i="9" s="1"/>
  <c r="D14" i="10" s="1"/>
  <c r="I19" i="9"/>
  <c r="D19" i="10" s="1"/>
  <c r="E33" i="1"/>
  <c r="G33" i="1" s="1"/>
  <c r="D33" i="5" s="1"/>
  <c r="G33" i="5" s="1"/>
  <c r="E33" i="10" s="1"/>
  <c r="E53" i="1"/>
  <c r="G53" i="1" s="1"/>
  <c r="D53" i="5" s="1"/>
  <c r="G53" i="5" s="1"/>
  <c r="E53" i="10" s="1"/>
  <c r="I86" i="9"/>
  <c r="D86" i="10" s="1"/>
  <c r="E9" i="1"/>
  <c r="G9" i="1" s="1"/>
  <c r="D9" i="5" s="1"/>
  <c r="G9" i="5" s="1"/>
  <c r="E9" i="10" s="1"/>
  <c r="E14" i="1"/>
  <c r="G14" i="1" s="1"/>
  <c r="D14" i="5" s="1"/>
  <c r="G14" i="5" s="1"/>
  <c r="E14" i="10" s="1"/>
  <c r="E24" i="1"/>
  <c r="G24" i="1" s="1"/>
  <c r="D24" i="5" s="1"/>
  <c r="G24" i="5" s="1"/>
  <c r="E24" i="10" s="1"/>
  <c r="E29" i="1"/>
  <c r="G29" i="1" s="1"/>
  <c r="D29" i="5" s="1"/>
  <c r="G29" i="5" s="1"/>
  <c r="E29" i="10" s="1"/>
  <c r="E35" i="1"/>
  <c r="G35" i="1" s="1"/>
  <c r="D35" i="5" s="1"/>
  <c r="G35" i="5" s="1"/>
  <c r="E35" i="10" s="1"/>
  <c r="E41" i="1"/>
  <c r="G41" i="1" s="1"/>
  <c r="D41" i="5" s="1"/>
  <c r="G41" i="5" s="1"/>
  <c r="E41" i="10" s="1"/>
  <c r="E43" i="1"/>
  <c r="G43" i="1" s="1"/>
  <c r="D43" i="5" s="1"/>
  <c r="G43" i="5" s="1"/>
  <c r="E43" i="10" s="1"/>
  <c r="G48" i="6"/>
  <c r="D48" i="9" s="1"/>
  <c r="G48" i="9" s="1"/>
  <c r="I48" i="9" s="1"/>
  <c r="D48" i="10" s="1"/>
  <c r="E49" i="1"/>
  <c r="G49" i="1" s="1"/>
  <c r="D49" i="5" s="1"/>
  <c r="G49" i="5" s="1"/>
  <c r="E49" i="10" s="1"/>
  <c r="D3" i="6"/>
  <c r="F3" i="6" s="1"/>
  <c r="G3" i="6" s="1"/>
  <c r="D3" i="9" s="1"/>
  <c r="G3" i="9" s="1"/>
  <c r="I3" i="9" s="1"/>
  <c r="D3" i="10" s="1"/>
  <c r="E3" i="1"/>
  <c r="G3" i="1" s="1"/>
  <c r="D3" i="5" s="1"/>
  <c r="G3" i="5" s="1"/>
  <c r="E3" i="10" s="1"/>
  <c r="E5" i="1"/>
  <c r="G5" i="1" s="1"/>
  <c r="D5" i="5" s="1"/>
  <c r="G5" i="5" s="1"/>
  <c r="E5" i="10" s="1"/>
  <c r="G8" i="6"/>
  <c r="D8" i="9" s="1"/>
  <c r="G8" i="9" s="1"/>
  <c r="I8" i="9" s="1"/>
  <c r="D8" i="10" s="1"/>
  <c r="E8" i="1"/>
  <c r="G8" i="1" s="1"/>
  <c r="D8" i="5" s="1"/>
  <c r="G8" i="5" s="1"/>
  <c r="E8" i="10" s="1"/>
  <c r="E13" i="1"/>
  <c r="G13" i="1" s="1"/>
  <c r="D13" i="5" s="1"/>
  <c r="G13" i="5" s="1"/>
  <c r="E13" i="10" s="1"/>
  <c r="E23" i="1"/>
  <c r="G23" i="1" s="1"/>
  <c r="D23" i="5" s="1"/>
  <c r="G23" i="5" s="1"/>
  <c r="E23" i="10" s="1"/>
  <c r="E28" i="1"/>
  <c r="G28" i="1" s="1"/>
  <c r="D28" i="5" s="1"/>
  <c r="G28" i="5" s="1"/>
  <c r="E28" i="10" s="1"/>
  <c r="G36" i="6"/>
  <c r="D36" i="9" s="1"/>
  <c r="G36" i="9" s="1"/>
  <c r="I36" i="9" s="1"/>
  <c r="D36" i="10" s="1"/>
  <c r="E34" i="1"/>
  <c r="G34" i="1" s="1"/>
  <c r="D34" i="5" s="1"/>
  <c r="G34" i="5" s="1"/>
  <c r="E34" i="10" s="1"/>
  <c r="G40" i="6"/>
  <c r="D40" i="9" s="1"/>
  <c r="G40" i="9" s="1"/>
  <c r="I40" i="9" s="1"/>
  <c r="D40" i="10" s="1"/>
  <c r="E40" i="1"/>
  <c r="G40" i="1" s="1"/>
  <c r="D40" i="5" s="1"/>
  <c r="G40" i="5" s="1"/>
  <c r="E40" i="10" s="1"/>
  <c r="E46" i="1"/>
  <c r="G46" i="1" s="1"/>
  <c r="D46" i="5" s="1"/>
  <c r="G46" i="5" s="1"/>
  <c r="E46" i="10" s="1"/>
  <c r="G49" i="6"/>
  <c r="D49" i="9" s="1"/>
  <c r="G49" i="9" s="1"/>
  <c r="I49" i="9" s="1"/>
  <c r="D49" i="10" s="1"/>
  <c r="E48" i="1"/>
  <c r="G48" i="1" s="1"/>
  <c r="D48" i="5" s="1"/>
  <c r="G48" i="5" s="1"/>
  <c r="E48" i="10" s="1"/>
  <c r="E54" i="1"/>
  <c r="G54" i="1" s="1"/>
  <c r="D54" i="5" s="1"/>
  <c r="G54" i="5" s="1"/>
  <c r="E54" i="10" s="1"/>
  <c r="E60" i="1"/>
  <c r="G60" i="1" s="1"/>
  <c r="D60" i="5" s="1"/>
  <c r="G60" i="5" s="1"/>
  <c r="E60" i="10" s="1"/>
  <c r="G64" i="6"/>
  <c r="D64" i="9" s="1"/>
  <c r="G64" i="9" s="1"/>
  <c r="I64" i="9" s="1"/>
  <c r="D64" i="10" s="1"/>
  <c r="E66" i="1"/>
  <c r="G66" i="1" s="1"/>
  <c r="D66" i="5" s="1"/>
  <c r="G66" i="5" s="1"/>
  <c r="E66" i="10" s="1"/>
  <c r="G68" i="6"/>
  <c r="D68" i="9" s="1"/>
  <c r="G68" i="9" s="1"/>
  <c r="I68" i="9" s="1"/>
  <c r="D68" i="10" s="1"/>
  <c r="E68" i="1"/>
  <c r="G68" i="1" s="1"/>
  <c r="G68" i="5" s="1"/>
  <c r="E68" i="10" s="1"/>
  <c r="E73" i="1"/>
  <c r="G73" i="1" s="1"/>
  <c r="D73" i="5" s="1"/>
  <c r="G73" i="5" s="1"/>
  <c r="E73" i="10" s="1"/>
  <c r="G81" i="6"/>
  <c r="D81" i="9" s="1"/>
  <c r="G81" i="9" s="1"/>
  <c r="E79" i="1"/>
  <c r="G79" i="1" s="1"/>
  <c r="D79" i="5" s="1"/>
  <c r="G79" i="5" s="1"/>
  <c r="E79" i="10" s="1"/>
  <c r="G85" i="6"/>
  <c r="D85" i="9" s="1"/>
  <c r="G85" i="9" s="1"/>
  <c r="I85" i="9" s="1"/>
  <c r="D85" i="10" s="1"/>
  <c r="G89" i="6"/>
  <c r="D89" i="9" s="1"/>
  <c r="G89" i="9" s="1"/>
  <c r="I89" i="9" s="1"/>
  <c r="D89" i="10" s="1"/>
  <c r="E86" i="1"/>
  <c r="G86" i="1" s="1"/>
  <c r="D86" i="5" s="1"/>
  <c r="G86" i="5" s="1"/>
  <c r="E86" i="10" s="1"/>
  <c r="E91" i="1"/>
  <c r="G91" i="1" s="1"/>
  <c r="D91" i="5" s="1"/>
  <c r="G91" i="5" s="1"/>
  <c r="E91" i="10" s="1"/>
  <c r="E93" i="1"/>
  <c r="G93" i="1" s="1"/>
  <c r="D93" i="5" s="1"/>
  <c r="G93" i="5" s="1"/>
  <c r="E93" i="10" s="1"/>
  <c r="G101" i="6"/>
  <c r="D101" i="9" s="1"/>
  <c r="G101" i="9" s="1"/>
  <c r="I101" i="9" s="1"/>
  <c r="D101" i="10" s="1"/>
  <c r="E101" i="1"/>
  <c r="G101" i="1" s="1"/>
  <c r="D101" i="5" s="1"/>
  <c r="G101" i="5" s="1"/>
  <c r="E101" i="10" s="1"/>
  <c r="G31" i="6"/>
  <c r="D31" i="9" s="1"/>
  <c r="G31" i="9" s="1"/>
  <c r="I31" i="9" s="1"/>
  <c r="D31" i="10" s="1"/>
  <c r="F31" i="10" s="1"/>
  <c r="G31" i="10" s="1"/>
  <c r="I81" i="9" l="1"/>
  <c r="D81" i="10" s="1"/>
  <c r="F81" i="10" s="1"/>
  <c r="F96" i="10"/>
  <c r="G96" i="10" s="1"/>
  <c r="F21" i="10"/>
  <c r="G21" i="10" s="1"/>
  <c r="F43" i="10"/>
  <c r="G43" i="10" s="1"/>
  <c r="F93" i="10"/>
  <c r="G93" i="10" s="1"/>
  <c r="F13" i="10"/>
  <c r="G13" i="10" s="1"/>
  <c r="F79" i="10"/>
  <c r="G79" i="10" s="1"/>
  <c r="F9" i="10"/>
  <c r="G9" i="10" s="1"/>
  <c r="F33" i="10"/>
  <c r="G33" i="10" s="1"/>
  <c r="F83" i="10"/>
  <c r="G83" i="10" s="1"/>
  <c r="F5" i="10"/>
  <c r="F35" i="10"/>
  <c r="G35" i="10" s="1"/>
  <c r="F25" i="10"/>
  <c r="G25" i="10" s="1"/>
  <c r="F90" i="10"/>
  <c r="G90" i="10" s="1"/>
  <c r="F18" i="10"/>
  <c r="G18" i="10" s="1"/>
  <c r="F11" i="10"/>
  <c r="G11" i="10" s="1"/>
  <c r="F73" i="10"/>
  <c r="G73" i="10" s="1"/>
  <c r="F19" i="10"/>
  <c r="G19" i="10" s="1"/>
  <c r="F26" i="10"/>
  <c r="G26" i="10" s="1"/>
  <c r="F86" i="10"/>
  <c r="G86" i="10" s="1"/>
  <c r="F48" i="10"/>
  <c r="G48" i="10" s="1"/>
  <c r="F40" i="10"/>
  <c r="G40" i="10" s="1"/>
  <c r="F28" i="10"/>
  <c r="G28" i="10" s="1"/>
  <c r="F39" i="10"/>
  <c r="G39" i="10" s="1"/>
  <c r="F53" i="10"/>
  <c r="G53" i="10" s="1"/>
  <c r="F45" i="10"/>
  <c r="G45" i="10" s="1"/>
  <c r="F8" i="10"/>
  <c r="G8" i="10" s="1"/>
  <c r="F41" i="10"/>
  <c r="G41" i="10" s="1"/>
  <c r="F65" i="10"/>
  <c r="G65" i="10" s="1"/>
  <c r="F100" i="10"/>
  <c r="G100" i="10" s="1"/>
  <c r="F66" i="10"/>
  <c r="G66" i="10" s="1"/>
  <c r="F24" i="10"/>
  <c r="G24" i="10" s="1"/>
  <c r="F98" i="10"/>
  <c r="G98" i="10" s="1"/>
  <c r="G71" i="6"/>
  <c r="D71" i="9" s="1"/>
  <c r="G71" i="9" s="1"/>
  <c r="I71" i="9" s="1"/>
  <c r="D71" i="10" s="1"/>
  <c r="F71" i="10" s="1"/>
  <c r="F23" i="10"/>
  <c r="G23" i="10" s="1"/>
  <c r="F95" i="10"/>
  <c r="G95" i="10" s="1"/>
  <c r="F75" i="10"/>
  <c r="F10" i="10"/>
  <c r="F94" i="10"/>
  <c r="G94" i="10" s="1"/>
  <c r="F78" i="10"/>
  <c r="F85" i="10"/>
  <c r="G85" i="10" s="1"/>
  <c r="F46" i="10"/>
  <c r="G46" i="10" s="1"/>
  <c r="F99" i="10"/>
  <c r="G99" i="10" s="1"/>
  <c r="F76" i="10"/>
  <c r="G76" i="10" s="1"/>
  <c r="F20" i="10"/>
  <c r="G20" i="10" s="1"/>
  <c r="F51" i="10"/>
  <c r="G51" i="10" s="1"/>
  <c r="F69" i="10"/>
  <c r="F61" i="10"/>
  <c r="G61" i="10" s="1"/>
  <c r="F60" i="10"/>
  <c r="G60" i="10" s="1"/>
  <c r="F68" i="10"/>
  <c r="F88" i="10"/>
  <c r="G88" i="10" s="1"/>
  <c r="F101" i="10"/>
  <c r="G101" i="10" s="1"/>
  <c r="F56" i="10"/>
  <c r="G56" i="10" s="1"/>
  <c r="F3" i="10"/>
  <c r="G3" i="10" s="1"/>
  <c r="F29" i="10"/>
  <c r="G29" i="10" s="1"/>
  <c r="F14" i="10"/>
  <c r="G14" i="10" s="1"/>
  <c r="F80" i="10"/>
  <c r="F64" i="10"/>
  <c r="G64" i="10" s="1"/>
  <c r="G55" i="6"/>
  <c r="D55" i="9" s="1"/>
  <c r="G55" i="9" s="1"/>
  <c r="I55" i="9" s="1"/>
  <c r="D55" i="10" s="1"/>
  <c r="F55" i="10" s="1"/>
  <c r="G55" i="10" s="1"/>
  <c r="F38" i="10"/>
  <c r="G38" i="10" s="1"/>
  <c r="F30" i="10"/>
  <c r="G30" i="10" s="1"/>
  <c r="G59" i="6"/>
  <c r="D59" i="9" s="1"/>
  <c r="G59" i="9" s="1"/>
  <c r="I59" i="9" s="1"/>
  <c r="D59" i="10" s="1"/>
  <c r="F59" i="10" s="1"/>
  <c r="G59" i="10" s="1"/>
  <c r="G58" i="6"/>
  <c r="D58" i="9" s="1"/>
  <c r="G58" i="9" s="1"/>
  <c r="I58" i="9" s="1"/>
  <c r="D58" i="10" s="1"/>
  <c r="F58" i="10" s="1"/>
  <c r="G58" i="10" s="1"/>
  <c r="G4" i="6"/>
  <c r="D4" i="9" s="1"/>
  <c r="G4" i="9" s="1"/>
  <c r="I4" i="9" s="1"/>
  <c r="D4" i="10" s="1"/>
  <c r="F4" i="10" s="1"/>
  <c r="F89" i="10"/>
  <c r="G89" i="10" s="1"/>
  <c r="F44" i="10"/>
  <c r="G44" i="10" s="1"/>
  <c r="F91" i="10"/>
  <c r="G91" i="10" s="1"/>
  <c r="F54" i="10"/>
  <c r="G54" i="10" s="1"/>
  <c r="F34" i="10"/>
  <c r="G34" i="10" s="1"/>
  <c r="F49" i="10"/>
  <c r="G49" i="10" s="1"/>
  <c r="G15" i="6"/>
  <c r="D15" i="9" s="1"/>
  <c r="G15" i="9" s="1"/>
  <c r="I15" i="9" s="1"/>
  <c r="D15" i="10" s="1"/>
  <c r="F15" i="10" s="1"/>
  <c r="F74" i="10"/>
  <c r="G74" i="10" s="1"/>
  <c r="F63" i="10"/>
  <c r="G63" i="10" s="1"/>
  <c r="F84" i="10"/>
  <c r="G84" i="10" s="1"/>
  <c r="F70" i="10"/>
  <c r="F50" i="10"/>
  <c r="G50" i="10" s="1"/>
  <c r="F36" i="10"/>
  <c r="G36" i="10" s="1"/>
  <c r="G4" i="10" l="1"/>
  <c r="D4" i="17"/>
  <c r="E4" i="17" s="1"/>
  <c r="G5" i="10"/>
  <c r="D5" i="17"/>
  <c r="E5" i="17" s="1"/>
  <c r="G10" i="10"/>
  <c r="D9" i="17"/>
  <c r="E9" i="17" s="1"/>
  <c r="G15" i="10"/>
  <c r="D13" i="17"/>
  <c r="E13" i="17" s="1"/>
  <c r="G81" i="10"/>
  <c r="D66" i="17"/>
  <c r="E66" i="17" s="1"/>
  <c r="G80" i="10"/>
  <c r="D65" i="17"/>
  <c r="E65" i="17" s="1"/>
  <c r="G78" i="10"/>
  <c r="D63" i="17"/>
  <c r="E63" i="17" s="1"/>
  <c r="G75" i="10"/>
  <c r="D61" i="17"/>
  <c r="E61" i="17" s="1"/>
  <c r="G68" i="10"/>
  <c r="D55" i="17"/>
  <c r="E55" i="17" s="1"/>
  <c r="G69" i="10"/>
  <c r="D56" i="17"/>
  <c r="E56" i="17" s="1"/>
  <c r="G70" i="10"/>
  <c r="D57" i="17"/>
  <c r="E57" i="17" s="1"/>
  <c r="G71" i="10"/>
  <c r="D58" i="17"/>
  <c r="E58" i="17" s="1"/>
  <c r="M143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D1" authorId="0" shapeId="0" xr:uid="{06435DBC-FEB5-45B0-9A17-39481B69057C}">
      <text>
        <r>
          <rPr>
            <b/>
            <sz val="9"/>
            <color indexed="81"/>
            <rFont val="Tahoma"/>
            <family val="2"/>
          </rPr>
          <t>LENOVO:(</t>
        </r>
        <r>
          <rPr>
            <sz val="9"/>
            <color indexed="81"/>
            <rFont val="Tahoma"/>
            <family val="2"/>
          </rPr>
          <t xml:space="preserve">
(deltaWC +deltaNCO+deltaFIN)/ATS
</t>
        </r>
      </text>
    </comment>
    <comment ref="E1" authorId="0" shapeId="0" xr:uid="{51BFF27E-6A02-48FF-8121-2E05FF374278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Change in receivable+change in cash sales+change in earnings</t>
        </r>
      </text>
    </comment>
  </commentList>
</comments>
</file>

<file path=xl/sharedStrings.xml><?xml version="1.0" encoding="utf-8"?>
<sst xmlns="http://schemas.openxmlformats.org/spreadsheetml/2006/main" count="1652" uniqueCount="145">
  <si>
    <t>No</t>
  </si>
  <si>
    <t>Kode Emiten</t>
  </si>
  <si>
    <t>Tahun</t>
  </si>
  <si>
    <t>ASTJ</t>
  </si>
  <si>
    <t>ASMI</t>
  </si>
  <si>
    <t>BBNI</t>
  </si>
  <si>
    <t>BBTN</t>
  </si>
  <si>
    <t>BCAP</t>
  </si>
  <si>
    <t>BDMN</t>
  </si>
  <si>
    <t>BFIN</t>
  </si>
  <si>
    <t>BNGA</t>
  </si>
  <si>
    <t>BNII</t>
  </si>
  <si>
    <t>BNLI</t>
  </si>
  <si>
    <t>ADMF</t>
  </si>
  <si>
    <t>BVIC</t>
  </si>
  <si>
    <t>CFIN</t>
  </si>
  <si>
    <t>HDFA</t>
  </si>
  <si>
    <t>MAYA</t>
  </si>
  <si>
    <t>PADI</t>
  </si>
  <si>
    <t>PNLF</t>
  </si>
  <si>
    <t>SDRA</t>
  </si>
  <si>
    <t>SMMA</t>
  </si>
  <si>
    <t>WOMF</t>
  </si>
  <si>
    <t>Receivable</t>
  </si>
  <si>
    <t>∆Receivable</t>
  </si>
  <si>
    <t>Average Total Assets</t>
  </si>
  <si>
    <t>CH Rec</t>
  </si>
  <si>
    <t>Beginning Total Asset</t>
  </si>
  <si>
    <t>End Total Assets</t>
  </si>
  <si>
    <t>Sales/Pendapatan</t>
  </si>
  <si>
    <t>∆Sales</t>
  </si>
  <si>
    <t>Receivable(t)</t>
  </si>
  <si>
    <t>Earning(t-1)</t>
  </si>
  <si>
    <t>Average Total Asset(t-1)</t>
  </si>
  <si>
    <t xml:space="preserve">Average Total Aset </t>
  </si>
  <si>
    <t>Earning(t)</t>
  </si>
  <si>
    <t>Ch in Earning</t>
  </si>
  <si>
    <t>Ch in Sales</t>
  </si>
  <si>
    <t>Ch in earning</t>
  </si>
  <si>
    <t>Financial Performance</t>
  </si>
  <si>
    <t>Current Assets</t>
  </si>
  <si>
    <t>Current Liabilities</t>
  </si>
  <si>
    <t>WC</t>
  </si>
  <si>
    <t>∆WC</t>
  </si>
  <si>
    <t>Total Asset</t>
  </si>
  <si>
    <t>Total Liabilities</t>
  </si>
  <si>
    <t>Long Term Debt</t>
  </si>
  <si>
    <t>Total Investment</t>
  </si>
  <si>
    <t>Advance</t>
  </si>
  <si>
    <t>Investment and advance</t>
  </si>
  <si>
    <t>NCO</t>
  </si>
  <si>
    <t>aset</t>
  </si>
  <si>
    <t>Liability</t>
  </si>
  <si>
    <t>∆NCO</t>
  </si>
  <si>
    <t>FIN</t>
  </si>
  <si>
    <t>∆FIN</t>
  </si>
  <si>
    <t>Average Total Asset</t>
  </si>
  <si>
    <t>Total</t>
  </si>
  <si>
    <t>RSST</t>
  </si>
  <si>
    <t>Ch Receivable</t>
  </si>
  <si>
    <t>Ch in cash sales</t>
  </si>
  <si>
    <t>RSST Accrual</t>
  </si>
  <si>
    <t>Financial performce</t>
  </si>
  <si>
    <t>F Score</t>
  </si>
  <si>
    <t>Cross Section</t>
  </si>
  <si>
    <t>Periode</t>
  </si>
  <si>
    <t>ACHANGE</t>
  </si>
  <si>
    <t>X1</t>
  </si>
  <si>
    <t>BDOUT</t>
  </si>
  <si>
    <t>X2</t>
  </si>
  <si>
    <t>Pergantian Direksi</t>
  </si>
  <si>
    <t>Rangkap Jabatan</t>
  </si>
  <si>
    <t>F-Score</t>
  </si>
  <si>
    <t>X3</t>
  </si>
  <si>
    <t>X4</t>
  </si>
  <si>
    <t>X5</t>
  </si>
  <si>
    <t>Y</t>
  </si>
  <si>
    <t>Pergantian Auditor</t>
  </si>
  <si>
    <t>ASDM</t>
  </si>
  <si>
    <t>BBKP</t>
  </si>
  <si>
    <t>BBMD</t>
  </si>
  <si>
    <t>BBRI</t>
  </si>
  <si>
    <t>BBYB</t>
  </si>
  <si>
    <t>BINA</t>
  </si>
  <si>
    <t>BJTM</t>
  </si>
  <si>
    <t>BMRI</t>
  </si>
  <si>
    <t>BNBA</t>
  </si>
  <si>
    <t>AGRO</t>
  </si>
  <si>
    <t>BSIM</t>
  </si>
  <si>
    <t>INPC</t>
  </si>
  <si>
    <t>MEGA</t>
  </si>
  <si>
    <t>TRIM</t>
  </si>
  <si>
    <t>NISP</t>
  </si>
  <si>
    <t>tdjjghf</t>
  </si>
  <si>
    <t>F-Score Angka</t>
  </si>
  <si>
    <t>Mean</t>
  </si>
  <si>
    <t>Standar</t>
  </si>
  <si>
    <t>y</t>
  </si>
  <si>
    <t>x1</t>
  </si>
  <si>
    <t>x2</t>
  </si>
  <si>
    <t>x3</t>
  </si>
  <si>
    <t>x4</t>
  </si>
  <si>
    <t>x5</t>
  </si>
  <si>
    <t>standardize</t>
  </si>
  <si>
    <t>abs std</t>
  </si>
  <si>
    <t>outliner</t>
  </si>
  <si>
    <t>Y angka</t>
  </si>
  <si>
    <t>Yangka</t>
  </si>
  <si>
    <t>t Tabel</t>
  </si>
  <si>
    <t>Probability</t>
  </si>
  <si>
    <t>0,05</t>
  </si>
  <si>
    <t>Jumlah Sample</t>
  </si>
  <si>
    <t>Jumlah Variabel</t>
  </si>
  <si>
    <t>Fscore</t>
  </si>
  <si>
    <t>Kode</t>
  </si>
  <si>
    <t>Total Assets (t)</t>
  </si>
  <si>
    <t>Total Asset (t-1)</t>
  </si>
  <si>
    <t>ASJT</t>
  </si>
  <si>
    <t>Komisaris Independen</t>
  </si>
  <si>
    <t>Keseluruhan Komisaris</t>
  </si>
  <si>
    <t>KAP</t>
  </si>
  <si>
    <t>Tanubrata Sutanto Fahmi Bambang &amp; Rekan</t>
  </si>
  <si>
    <t xml:space="preserve">Mirawati Sensi Idris </t>
  </si>
  <si>
    <t>Amir Abadi Jusuf, Aryanto, Mawar &amp; Rekan</t>
  </si>
  <si>
    <t>Kanaka Puradiredja, Suhartono (Nexia, KPS)</t>
  </si>
  <si>
    <t>Purwantono, Sungkoro &amp; Surja (EY)</t>
  </si>
  <si>
    <t>PWC</t>
  </si>
  <si>
    <t>Pwc</t>
  </si>
  <si>
    <t>Deloitte (Imelda &amp; Rekan)</t>
  </si>
  <si>
    <t>pwc</t>
  </si>
  <si>
    <t>Deloitte (Satrio Bing Eny &amp; Rekan)</t>
  </si>
  <si>
    <t>Kosasih, Nurdiyaman, Mulyadi, Tjahjo &amp; Rekan (Crowe)</t>
  </si>
  <si>
    <t>Anwar &amp; Rekan (DFK International)</t>
  </si>
  <si>
    <t>Suharli, Sugiharto &amp; Rekan (SW Indonesia)</t>
  </si>
  <si>
    <t>Purwanto, Sungkoro &amp; Surja (EY)</t>
  </si>
  <si>
    <t>Amir Abadi Jusuf, Aryanto, Mawar &amp; Rekan (RSM)</t>
  </si>
  <si>
    <t>kosasih, Nurdiyaman, Mulyadi, Tjahjo &amp; Rekan</t>
  </si>
  <si>
    <t>Paul Hadiwinata, Hidajat, Arsono, Retno, Palilingan &amp; Rekan (PKF)</t>
  </si>
  <si>
    <t>Hendrawinata Hanny Erwin &amp; Sumargo</t>
  </si>
  <si>
    <t>Kanaka Puradiredja Suhartono (Nexia KPS)</t>
  </si>
  <si>
    <t>KAP Paul Hadiwinata, Hidajat, Arsono, Retno, Palilingan &amp; Rekan</t>
  </si>
  <si>
    <t>Tanudiredja, Wibisana, Rintis &amp; Rekan (PWC)</t>
  </si>
  <si>
    <t>Satrio Bing Eny &amp; Rekan</t>
  </si>
  <si>
    <t>Mirawati Sensi Idris</t>
  </si>
  <si>
    <t>dummy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</si>
</sst>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-[$Rp-3809]* #,##0_-;\-[$Rp-3809]* #,##0_-;_-[$Rp-3809]* &quot;-&quot;??_-;_-@_-"/>
    <numFmt numFmtId="165" formatCode="_-&quot;Rp&quot;* #,##0_-;\-&quot;Rp&quot;* #,##0_-;_-&quot;Rp&quot;* &quot;-&quot;??_-;_-@_-"/>
    <numFmt numFmtId="166" formatCode="_-[$Rp-421]* #,##0_-;\-[$Rp-421]* #,##0_-;_-[$Rp-421]* &quot;-&quot;??_-;_-@_-"/>
    <numFmt numFmtId="167" formatCode="_-[$Rp-3809]* #,##0.00_-;\-[$Rp-3809]* #,##0.00_-;_-[$Rp-3809]* &quot;-&quot;??_-;_-@_-"/>
    <numFmt numFmtId="168" formatCode="_-* #,##0.0000_-;\-* #,##0.0000_-;_-* &quot;-&quot;??_-;_-@_-"/>
    <numFmt numFmtId="169" formatCode="_-* #,##0.00000_-;\-* #,##0.00000_-;_-* &quot;-&quot;??_-;_-@_-"/>
    <numFmt numFmtId="170" formatCode="0.00000"/>
    <numFmt numFmtId="171" formatCode="_-* #,##0_-;\-* #,##0_-;_-* &quot;-&quot;??_-;_-@_-"/>
    <numFmt numFmtId="172" formatCode="_-* #,##0.000000000_-;\-* #,##0.000000000_-;_-* &quot;-&quot;??_-;_-@_-"/>
    <numFmt numFmtId="173" formatCode="#,##0.000000;\-#,##0.000000"/>
    <numFmt numFmtId="174" formatCode="&quot;Rp&quot;#,##0"/>
    <numFmt numFmtId="175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0" fillId="0" borderId="1" xfId="0" applyNumberFormat="1" applyBorder="1"/>
    <xf numFmtId="164" fontId="0" fillId="2" borderId="1" xfId="0" applyNumberFormat="1" applyFill="1" applyBorder="1"/>
    <xf numFmtId="165" fontId="0" fillId="0" borderId="0" xfId="1" applyNumberFormat="1" applyFont="1"/>
    <xf numFmtId="165" fontId="0" fillId="0" borderId="1" xfId="1" applyNumberFormat="1" applyFont="1" applyFill="1" applyBorder="1" applyAlignment="1">
      <alignment horizontal="center"/>
    </xf>
    <xf numFmtId="165" fontId="0" fillId="0" borderId="1" xfId="1" applyNumberFormat="1" applyFont="1" applyBorder="1"/>
    <xf numFmtId="0" fontId="0" fillId="0" borderId="1" xfId="1" applyNumberFormat="1" applyFont="1" applyFill="1" applyBorder="1" applyAlignment="1">
      <alignment horizontal="center"/>
    </xf>
    <xf numFmtId="0" fontId="0" fillId="0" borderId="1" xfId="0" applyBorder="1"/>
    <xf numFmtId="165" fontId="0" fillId="0" borderId="1" xfId="1" applyNumberFormat="1" applyFont="1" applyFill="1" applyBorder="1"/>
    <xf numFmtId="165" fontId="0" fillId="0" borderId="1" xfId="0" applyNumberFormat="1" applyBorder="1"/>
    <xf numFmtId="166" fontId="0" fillId="0" borderId="0" xfId="0" applyNumberFormat="1"/>
    <xf numFmtId="166" fontId="0" fillId="0" borderId="1" xfId="0" applyNumberFormat="1" applyBorder="1" applyAlignment="1">
      <alignment horizontal="center"/>
    </xf>
    <xf numFmtId="165" fontId="0" fillId="3" borderId="1" xfId="1" applyNumberFormat="1" applyFont="1" applyFill="1" applyBorder="1"/>
    <xf numFmtId="164" fontId="0" fillId="3" borderId="1" xfId="0" applyNumberFormat="1" applyFill="1" applyBorder="1"/>
    <xf numFmtId="166" fontId="0" fillId="3" borderId="1" xfId="0" applyNumberFormat="1" applyFill="1" applyBorder="1" applyAlignment="1">
      <alignment horizontal="center"/>
    </xf>
    <xf numFmtId="166" fontId="0" fillId="3" borderId="1" xfId="0" applyNumberFormat="1" applyFill="1" applyBorder="1"/>
    <xf numFmtId="165" fontId="0" fillId="0" borderId="1" xfId="1" applyNumberFormat="1" applyFont="1" applyBorder="1" applyAlignment="1">
      <alignment horizontal="center"/>
    </xf>
    <xf numFmtId="44" fontId="0" fillId="0" borderId="1" xfId="0" applyNumberFormat="1" applyBorder="1"/>
    <xf numFmtId="43" fontId="0" fillId="0" borderId="1" xfId="2" applyFont="1" applyBorder="1"/>
    <xf numFmtId="169" fontId="0" fillId="0" borderId="1" xfId="2" applyNumberFormat="1" applyFont="1" applyBorder="1" applyAlignment="1">
      <alignment horizontal="center"/>
    </xf>
    <xf numFmtId="169" fontId="0" fillId="0" borderId="1" xfId="2" applyNumberFormat="1" applyFont="1" applyBorder="1"/>
    <xf numFmtId="169" fontId="0" fillId="0" borderId="0" xfId="2" applyNumberFormat="1" applyFont="1"/>
    <xf numFmtId="170" fontId="0" fillId="0" borderId="1" xfId="0" applyNumberFormat="1" applyBorder="1"/>
    <xf numFmtId="0" fontId="0" fillId="0" borderId="1" xfId="0" applyBorder="1" applyAlignment="1">
      <alignment horizontal="center" vertical="center"/>
    </xf>
    <xf numFmtId="165" fontId="0" fillId="0" borderId="0" xfId="0" applyNumberFormat="1"/>
    <xf numFmtId="171" fontId="0" fillId="0" borderId="1" xfId="2" applyNumberFormat="1" applyFont="1" applyBorder="1"/>
    <xf numFmtId="171" fontId="0" fillId="0" borderId="1" xfId="0" applyNumberFormat="1" applyBorder="1"/>
    <xf numFmtId="165" fontId="0" fillId="0" borderId="1" xfId="0" applyNumberFormat="1" applyBorder="1" applyAlignment="1">
      <alignment horizontal="center"/>
    </xf>
    <xf numFmtId="168" fontId="0" fillId="0" borderId="1" xfId="2" applyNumberFormat="1" applyFont="1" applyBorder="1"/>
    <xf numFmtId="172" fontId="0" fillId="0" borderId="1" xfId="2" applyNumberFormat="1" applyFont="1" applyBorder="1"/>
    <xf numFmtId="166" fontId="0" fillId="0" borderId="1" xfId="0" applyNumberFormat="1" applyBorder="1"/>
    <xf numFmtId="43" fontId="0" fillId="0" borderId="1" xfId="0" applyNumberFormat="1" applyBorder="1"/>
    <xf numFmtId="169" fontId="0" fillId="0" borderId="1" xfId="2" applyNumberFormat="1" applyFont="1" applyBorder="1" applyAlignment="1"/>
    <xf numFmtId="165" fontId="0" fillId="2" borderId="1" xfId="0" applyNumberFormat="1" applyFill="1" applyBorder="1"/>
    <xf numFmtId="165" fontId="0" fillId="2" borderId="1" xfId="1" applyNumberFormat="1" applyFont="1" applyFill="1" applyBorder="1"/>
    <xf numFmtId="167" fontId="0" fillId="2" borderId="1" xfId="0" applyNumberFormat="1" applyFill="1" applyBorder="1"/>
    <xf numFmtId="166" fontId="0" fillId="2" borderId="1" xfId="0" applyNumberFormat="1" applyFill="1" applyBorder="1" applyAlignment="1">
      <alignment horizontal="center"/>
    </xf>
    <xf numFmtId="44" fontId="0" fillId="2" borderId="1" xfId="0" applyNumberFormat="1" applyFill="1" applyBorder="1"/>
    <xf numFmtId="166" fontId="0" fillId="2" borderId="1" xfId="0" applyNumberFormat="1" applyFill="1" applyBorder="1"/>
    <xf numFmtId="165" fontId="1" fillId="2" borderId="1" xfId="1" applyNumberFormat="1" applyFont="1" applyFill="1" applyBorder="1"/>
    <xf numFmtId="167" fontId="1" fillId="2" borderId="1" xfId="0" applyNumberFormat="1" applyFont="1" applyFill="1" applyBorder="1"/>
    <xf numFmtId="164" fontId="1" fillId="2" borderId="1" xfId="0" applyNumberFormat="1" applyFont="1" applyFill="1" applyBorder="1"/>
    <xf numFmtId="171" fontId="0" fillId="2" borderId="1" xfId="2" applyNumberFormat="1" applyFont="1" applyFill="1" applyBorder="1"/>
    <xf numFmtId="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170" fontId="0" fillId="0" borderId="0" xfId="0" applyNumberFormat="1"/>
    <xf numFmtId="0" fontId="0" fillId="0" borderId="5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73" fontId="0" fillId="0" borderId="1" xfId="2" applyNumberFormat="1" applyFont="1" applyBorder="1"/>
    <xf numFmtId="174" fontId="0" fillId="0" borderId="1" xfId="2" applyNumberFormat="1" applyFont="1" applyBorder="1"/>
    <xf numFmtId="174" fontId="0" fillId="0" borderId="1" xfId="0" applyNumberFormat="1" applyBorder="1"/>
    <xf numFmtId="175" fontId="0" fillId="0" borderId="1" xfId="0" applyNumberFormat="1" applyBorder="1" applyAlignment="1">
      <alignment horizontal="center"/>
    </xf>
    <xf numFmtId="175" fontId="0" fillId="0" borderId="1" xfId="0" applyNumberFormat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170" fontId="0" fillId="4" borderId="1" xfId="0" applyNumberFormat="1" applyFill="1" applyBorder="1"/>
    <xf numFmtId="43" fontId="0" fillId="4" borderId="1" xfId="2" applyFont="1" applyFill="1" applyBorder="1"/>
    <xf numFmtId="0" fontId="0" fillId="4" borderId="1" xfId="0" applyFill="1" applyBorder="1"/>
    <xf numFmtId="0" fontId="0" fillId="4" borderId="0" xfId="0" applyFill="1"/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4" borderId="1" xfId="0" applyFill="1" applyBorder="1" applyAlignment="1">
      <alignment horizontal="center" vertical="center"/>
    </xf>
  </cellXfs>
  <cellStyles count="3">
    <cellStyle name="Comma" xfId="2" builtinId="3"/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6FDF0-7869-4F9A-84BB-EA49C60F577B}">
  <dimension ref="A1:F176"/>
  <sheetViews>
    <sheetView workbookViewId="0">
      <selection activeCell="A2" sqref="A2:A176"/>
    </sheetView>
  </sheetViews>
  <sheetFormatPr defaultRowHeight="14.5" x14ac:dyDescent="0.35"/>
  <cols>
    <col min="2" max="2" width="11.26953125" bestFit="1" customWidth="1"/>
    <col min="4" max="4" width="26.26953125" bestFit="1" customWidth="1"/>
    <col min="5" max="5" width="24.26953125" bestFit="1" customWidth="1"/>
    <col min="6" max="6" width="22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27</v>
      </c>
      <c r="E1" s="1" t="s">
        <v>28</v>
      </c>
      <c r="F1" s="1" t="s">
        <v>25</v>
      </c>
    </row>
    <row r="2" spans="1:6" x14ac:dyDescent="0.35">
      <c r="A2" s="1">
        <v>1</v>
      </c>
      <c r="B2" s="1" t="s">
        <v>3</v>
      </c>
      <c r="C2" s="1">
        <v>2017</v>
      </c>
      <c r="D2" s="6">
        <v>427094000000</v>
      </c>
      <c r="E2" s="3">
        <v>446108163202</v>
      </c>
      <c r="F2" s="3">
        <f>(D2+E2)/2</f>
        <v>436601081601</v>
      </c>
    </row>
    <row r="3" spans="1:6" ht="15.5" x14ac:dyDescent="0.35">
      <c r="A3" s="1">
        <v>2</v>
      </c>
      <c r="B3" s="2" t="s">
        <v>3</v>
      </c>
      <c r="C3" s="1">
        <v>2018</v>
      </c>
      <c r="D3" s="3">
        <v>446108163202</v>
      </c>
      <c r="E3" s="3">
        <v>478439333039</v>
      </c>
      <c r="F3" s="3">
        <f>(D3+E3)/2</f>
        <v>462273748120.5</v>
      </c>
    </row>
    <row r="4" spans="1:6" ht="15.5" x14ac:dyDescent="0.35">
      <c r="A4" s="1">
        <v>3</v>
      </c>
      <c r="B4" s="2" t="s">
        <v>3</v>
      </c>
      <c r="C4" s="1">
        <v>2019</v>
      </c>
      <c r="D4" s="3">
        <v>478439333039</v>
      </c>
      <c r="E4" s="3">
        <v>447670324778</v>
      </c>
      <c r="F4" s="3">
        <f t="shared" ref="F4:F83" si="0">(D4+E4)/2</f>
        <v>463054828908.5</v>
      </c>
    </row>
    <row r="5" spans="1:6" ht="15.5" x14ac:dyDescent="0.35">
      <c r="A5" s="1">
        <v>4</v>
      </c>
      <c r="B5" s="2" t="s">
        <v>3</v>
      </c>
      <c r="C5" s="1">
        <v>2020</v>
      </c>
      <c r="D5" s="3">
        <v>447670324778</v>
      </c>
      <c r="E5" s="3">
        <v>365763908254</v>
      </c>
      <c r="F5" s="3">
        <f t="shared" si="0"/>
        <v>406717116516</v>
      </c>
    </row>
    <row r="6" spans="1:6" ht="15.5" x14ac:dyDescent="0.35">
      <c r="A6" s="1">
        <v>5</v>
      </c>
      <c r="B6" s="2" t="s">
        <v>3</v>
      </c>
      <c r="C6" s="1">
        <v>2021</v>
      </c>
      <c r="D6" s="3">
        <v>365763908254</v>
      </c>
      <c r="E6" s="3">
        <v>527852244647</v>
      </c>
      <c r="F6" s="3">
        <f t="shared" si="0"/>
        <v>446808076450.5</v>
      </c>
    </row>
    <row r="7" spans="1:6" ht="15.5" x14ac:dyDescent="0.35">
      <c r="A7" s="1">
        <v>6</v>
      </c>
      <c r="B7" s="2" t="s">
        <v>4</v>
      </c>
      <c r="C7" s="1">
        <v>2017</v>
      </c>
      <c r="D7" s="3">
        <v>617651155745</v>
      </c>
      <c r="E7" s="3">
        <v>858490283480</v>
      </c>
      <c r="F7" s="3">
        <f t="shared" si="0"/>
        <v>738070719612.5</v>
      </c>
    </row>
    <row r="8" spans="1:6" x14ac:dyDescent="0.35">
      <c r="A8" s="1">
        <v>7</v>
      </c>
      <c r="B8" s="1" t="s">
        <v>4</v>
      </c>
      <c r="C8" s="1">
        <v>2018</v>
      </c>
      <c r="D8" s="3">
        <v>858490283480</v>
      </c>
      <c r="E8" s="3">
        <v>969866560976</v>
      </c>
      <c r="F8" s="3">
        <f t="shared" si="0"/>
        <v>914178422228</v>
      </c>
    </row>
    <row r="9" spans="1:6" x14ac:dyDescent="0.35">
      <c r="A9" s="1">
        <v>8</v>
      </c>
      <c r="B9" s="1" t="s">
        <v>4</v>
      </c>
      <c r="C9" s="1">
        <v>2019</v>
      </c>
      <c r="D9" s="3">
        <v>969866560976</v>
      </c>
      <c r="E9" s="3">
        <v>975687462693</v>
      </c>
      <c r="F9" s="3">
        <f t="shared" si="0"/>
        <v>972777011834.5</v>
      </c>
    </row>
    <row r="10" spans="1:6" x14ac:dyDescent="0.35">
      <c r="A10" s="1">
        <v>9</v>
      </c>
      <c r="B10" s="1" t="s">
        <v>4</v>
      </c>
      <c r="C10" s="1">
        <v>2020</v>
      </c>
      <c r="D10" s="3">
        <v>975687462693</v>
      </c>
      <c r="E10" s="3">
        <v>990991744064</v>
      </c>
      <c r="F10" s="3">
        <f t="shared" si="0"/>
        <v>983339603378.5</v>
      </c>
    </row>
    <row r="11" spans="1:6" x14ac:dyDescent="0.35">
      <c r="A11" s="1">
        <v>10</v>
      </c>
      <c r="B11" s="1" t="s">
        <v>4</v>
      </c>
      <c r="C11" s="1">
        <v>2021</v>
      </c>
      <c r="D11" s="3">
        <v>990991744064</v>
      </c>
      <c r="E11" s="3">
        <v>981089572950</v>
      </c>
      <c r="F11" s="3">
        <f t="shared" si="0"/>
        <v>986040658507</v>
      </c>
    </row>
    <row r="12" spans="1:6" x14ac:dyDescent="0.35">
      <c r="A12" s="1">
        <v>11</v>
      </c>
      <c r="B12" s="1" t="s">
        <v>5</v>
      </c>
      <c r="C12" s="1">
        <v>2017</v>
      </c>
      <c r="D12" s="3">
        <v>603031880000000</v>
      </c>
      <c r="E12" s="3">
        <v>709330084000000</v>
      </c>
      <c r="F12" s="3">
        <f t="shared" si="0"/>
        <v>656180982000000</v>
      </c>
    </row>
    <row r="13" spans="1:6" x14ac:dyDescent="0.35">
      <c r="A13" s="1">
        <v>12</v>
      </c>
      <c r="B13" s="1" t="s">
        <v>5</v>
      </c>
      <c r="C13" s="1">
        <v>2018</v>
      </c>
      <c r="D13" s="3">
        <v>709330084000000</v>
      </c>
      <c r="E13" s="3">
        <v>808572011000000</v>
      </c>
      <c r="F13" s="3">
        <f t="shared" si="0"/>
        <v>758951047500000</v>
      </c>
    </row>
    <row r="14" spans="1:6" x14ac:dyDescent="0.35">
      <c r="A14" s="1">
        <v>13</v>
      </c>
      <c r="B14" s="1" t="s">
        <v>5</v>
      </c>
      <c r="C14" s="1">
        <v>2019</v>
      </c>
      <c r="D14" s="3">
        <v>808572011000000</v>
      </c>
      <c r="E14" s="3">
        <v>845605208000000</v>
      </c>
      <c r="F14" s="3">
        <f t="shared" si="0"/>
        <v>827088609500000</v>
      </c>
    </row>
    <row r="15" spans="1:6" x14ac:dyDescent="0.35">
      <c r="A15" s="1">
        <v>14</v>
      </c>
      <c r="B15" s="1" t="s">
        <v>5</v>
      </c>
      <c r="C15" s="1">
        <v>2020</v>
      </c>
      <c r="D15" s="3">
        <v>845605208000000</v>
      </c>
      <c r="E15" s="3">
        <v>891337425000000</v>
      </c>
      <c r="F15" s="3">
        <f t="shared" si="0"/>
        <v>868471316500000</v>
      </c>
    </row>
    <row r="16" spans="1:6" x14ac:dyDescent="0.35">
      <c r="A16" s="1">
        <v>15</v>
      </c>
      <c r="B16" s="1" t="s">
        <v>5</v>
      </c>
      <c r="C16" s="1">
        <v>2021</v>
      </c>
      <c r="D16" s="3">
        <v>891337425000000</v>
      </c>
      <c r="E16" s="3">
        <v>964837692000000</v>
      </c>
      <c r="F16" s="3">
        <f t="shared" si="0"/>
        <v>928087558500000</v>
      </c>
    </row>
    <row r="17" spans="1:6" x14ac:dyDescent="0.35">
      <c r="A17" s="1">
        <v>16</v>
      </c>
      <c r="B17" s="1" t="s">
        <v>6</v>
      </c>
      <c r="C17" s="1">
        <v>2017</v>
      </c>
      <c r="D17" s="3">
        <v>214168479000000</v>
      </c>
      <c r="E17" s="3">
        <v>261365267000000</v>
      </c>
      <c r="F17" s="3">
        <f t="shared" si="0"/>
        <v>237766873000000</v>
      </c>
    </row>
    <row r="18" spans="1:6" x14ac:dyDescent="0.35">
      <c r="A18" s="1">
        <v>17</v>
      </c>
      <c r="B18" s="1" t="s">
        <v>6</v>
      </c>
      <c r="C18" s="1">
        <v>2018</v>
      </c>
      <c r="D18" s="3">
        <v>261365267000000</v>
      </c>
      <c r="E18" s="3">
        <v>306436194000000</v>
      </c>
      <c r="F18" s="3">
        <f t="shared" si="0"/>
        <v>283900730500000</v>
      </c>
    </row>
    <row r="19" spans="1:6" x14ac:dyDescent="0.35">
      <c r="A19" s="1">
        <v>18</v>
      </c>
      <c r="B19" s="1" t="s">
        <v>6</v>
      </c>
      <c r="C19" s="1">
        <v>2019</v>
      </c>
      <c r="D19" s="3">
        <v>306436194000000</v>
      </c>
      <c r="E19" s="3">
        <v>311776828000000</v>
      </c>
      <c r="F19" s="3">
        <f t="shared" si="0"/>
        <v>309106511000000</v>
      </c>
    </row>
    <row r="20" spans="1:6" x14ac:dyDescent="0.35">
      <c r="A20" s="1">
        <v>19</v>
      </c>
      <c r="B20" s="1" t="s">
        <v>6</v>
      </c>
      <c r="C20" s="1">
        <v>2020</v>
      </c>
      <c r="D20" s="3">
        <v>311776828000000</v>
      </c>
      <c r="E20" s="3">
        <v>361208406000000</v>
      </c>
      <c r="F20" s="3">
        <f t="shared" si="0"/>
        <v>336492617000000</v>
      </c>
    </row>
    <row r="21" spans="1:6" x14ac:dyDescent="0.35">
      <c r="A21" s="1">
        <v>20</v>
      </c>
      <c r="B21" s="1" t="s">
        <v>6</v>
      </c>
      <c r="C21" s="1">
        <v>2021</v>
      </c>
      <c r="D21" s="3">
        <v>361208406000000</v>
      </c>
      <c r="E21" s="3">
        <v>371868311000000</v>
      </c>
      <c r="F21" s="3">
        <f t="shared" si="0"/>
        <v>366538358500000</v>
      </c>
    </row>
    <row r="22" spans="1:6" x14ac:dyDescent="0.35">
      <c r="A22" s="1">
        <v>21</v>
      </c>
      <c r="B22" s="1" t="s">
        <v>7</v>
      </c>
      <c r="C22" s="1">
        <v>2017</v>
      </c>
      <c r="D22" s="3">
        <v>22216019000000</v>
      </c>
      <c r="E22" s="3">
        <v>19883263000000</v>
      </c>
      <c r="F22" s="3">
        <f t="shared" si="0"/>
        <v>21049641000000</v>
      </c>
    </row>
    <row r="23" spans="1:6" x14ac:dyDescent="0.35">
      <c r="A23" s="1">
        <v>22</v>
      </c>
      <c r="B23" s="1" t="s">
        <v>7</v>
      </c>
      <c r="C23" s="1">
        <v>2018</v>
      </c>
      <c r="D23" s="3">
        <v>19883263000000</v>
      </c>
      <c r="E23" s="3">
        <v>18762724000000</v>
      </c>
      <c r="F23" s="3">
        <f t="shared" si="0"/>
        <v>19322993500000</v>
      </c>
    </row>
    <row r="24" spans="1:6" x14ac:dyDescent="0.35">
      <c r="A24" s="1">
        <v>23</v>
      </c>
      <c r="B24" s="1" t="s">
        <v>7</v>
      </c>
      <c r="C24" s="1">
        <v>2019</v>
      </c>
      <c r="D24" s="3">
        <v>18762724000000</v>
      </c>
      <c r="E24" s="3">
        <v>18385005000000</v>
      </c>
      <c r="F24" s="3">
        <f t="shared" si="0"/>
        <v>18573864500000</v>
      </c>
    </row>
    <row r="25" spans="1:6" x14ac:dyDescent="0.35">
      <c r="A25" s="1">
        <v>24</v>
      </c>
      <c r="B25" s="1" t="s">
        <v>7</v>
      </c>
      <c r="C25" s="1">
        <v>2020</v>
      </c>
      <c r="D25" s="3">
        <v>18385005000000</v>
      </c>
      <c r="E25" s="3">
        <v>19101546000000</v>
      </c>
      <c r="F25" s="3">
        <f t="shared" si="0"/>
        <v>18743275500000</v>
      </c>
    </row>
    <row r="26" spans="1:6" x14ac:dyDescent="0.35">
      <c r="A26" s="1">
        <v>25</v>
      </c>
      <c r="B26" s="1" t="s">
        <v>7</v>
      </c>
      <c r="C26" s="1">
        <v>2021</v>
      </c>
      <c r="D26" s="3">
        <v>19101546000000</v>
      </c>
      <c r="E26" s="3">
        <v>21653968000000</v>
      </c>
      <c r="F26" s="3">
        <f t="shared" si="0"/>
        <v>20377757000000</v>
      </c>
    </row>
    <row r="27" spans="1:6" x14ac:dyDescent="0.35">
      <c r="A27" s="1">
        <v>26</v>
      </c>
      <c r="B27" s="1" t="s">
        <v>8</v>
      </c>
      <c r="C27" s="1">
        <v>2017</v>
      </c>
      <c r="D27" s="3">
        <v>174436521000000</v>
      </c>
      <c r="E27" s="3">
        <v>178257092000000</v>
      </c>
      <c r="F27" s="3">
        <f t="shared" si="0"/>
        <v>176346806500000</v>
      </c>
    </row>
    <row r="28" spans="1:6" x14ac:dyDescent="0.35">
      <c r="A28" s="1">
        <v>27</v>
      </c>
      <c r="B28" s="1" t="s">
        <v>8</v>
      </c>
      <c r="C28" s="1">
        <v>2018</v>
      </c>
      <c r="D28" s="3">
        <v>178257092000000</v>
      </c>
      <c r="E28" s="3">
        <v>186762189000000</v>
      </c>
      <c r="F28" s="3">
        <f t="shared" si="0"/>
        <v>182509640500000</v>
      </c>
    </row>
    <row r="29" spans="1:6" x14ac:dyDescent="0.35">
      <c r="A29" s="1">
        <v>28</v>
      </c>
      <c r="B29" s="1" t="s">
        <v>8</v>
      </c>
      <c r="C29" s="1">
        <v>2019</v>
      </c>
      <c r="D29" s="3">
        <v>186762189000000</v>
      </c>
      <c r="E29" s="3">
        <v>193533970000000</v>
      </c>
      <c r="F29" s="3">
        <f t="shared" si="0"/>
        <v>190148079500000</v>
      </c>
    </row>
    <row r="30" spans="1:6" x14ac:dyDescent="0.35">
      <c r="A30" s="1">
        <v>29</v>
      </c>
      <c r="B30" s="1" t="s">
        <v>8</v>
      </c>
      <c r="C30" s="1">
        <v>2020</v>
      </c>
      <c r="D30" s="3">
        <v>193533970000000</v>
      </c>
      <c r="E30" s="3">
        <v>200890068000000</v>
      </c>
      <c r="F30" s="3">
        <f t="shared" si="0"/>
        <v>197212019000000</v>
      </c>
    </row>
    <row r="31" spans="1:6" x14ac:dyDescent="0.35">
      <c r="A31" s="1">
        <v>30</v>
      </c>
      <c r="B31" s="1" t="s">
        <v>8</v>
      </c>
      <c r="C31" s="1">
        <v>2021</v>
      </c>
      <c r="D31" s="3">
        <v>200890068000000</v>
      </c>
      <c r="E31" s="3">
        <v>192239698000000</v>
      </c>
      <c r="F31" s="3">
        <f t="shared" si="0"/>
        <v>196564883000000</v>
      </c>
    </row>
    <row r="32" spans="1:6" x14ac:dyDescent="0.35">
      <c r="A32" s="1">
        <v>31</v>
      </c>
      <c r="B32" s="1" t="s">
        <v>9</v>
      </c>
      <c r="C32" s="1">
        <v>2017</v>
      </c>
      <c r="D32" s="3">
        <v>12476256000000</v>
      </c>
      <c r="E32" s="3">
        <v>16483273000000</v>
      </c>
      <c r="F32" s="3">
        <f t="shared" si="0"/>
        <v>14479764500000</v>
      </c>
    </row>
    <row r="33" spans="1:6" x14ac:dyDescent="0.35">
      <c r="A33" s="1">
        <v>32</v>
      </c>
      <c r="B33" s="1" t="s">
        <v>9</v>
      </c>
      <c r="C33" s="1">
        <v>2018</v>
      </c>
      <c r="D33" s="3">
        <v>16483273000000</v>
      </c>
      <c r="E33" s="3">
        <v>19117305000000</v>
      </c>
      <c r="F33" s="3">
        <f t="shared" si="0"/>
        <v>17800289000000</v>
      </c>
    </row>
    <row r="34" spans="1:6" x14ac:dyDescent="0.35">
      <c r="A34" s="1">
        <v>33</v>
      </c>
      <c r="B34" s="1" t="s">
        <v>9</v>
      </c>
      <c r="C34" s="1">
        <v>2019</v>
      </c>
      <c r="D34" s="3">
        <v>19117305000000</v>
      </c>
      <c r="E34" s="3">
        <v>19089633000000</v>
      </c>
      <c r="F34" s="3">
        <f t="shared" si="0"/>
        <v>19103469000000</v>
      </c>
    </row>
    <row r="35" spans="1:6" x14ac:dyDescent="0.35">
      <c r="A35" s="1">
        <v>34</v>
      </c>
      <c r="B35" s="1" t="s">
        <v>9</v>
      </c>
      <c r="C35" s="1">
        <v>2020</v>
      </c>
      <c r="D35" s="3">
        <v>19089633000000</v>
      </c>
      <c r="E35" s="3">
        <v>15200531000000</v>
      </c>
      <c r="F35" s="3">
        <f t="shared" si="0"/>
        <v>17145082000000</v>
      </c>
    </row>
    <row r="36" spans="1:6" x14ac:dyDescent="0.35">
      <c r="A36" s="1">
        <v>35</v>
      </c>
      <c r="B36" s="1" t="s">
        <v>9</v>
      </c>
      <c r="C36" s="1">
        <v>2021</v>
      </c>
      <c r="D36" s="3">
        <v>15200531000000</v>
      </c>
      <c r="E36" s="3">
        <v>15635739000000</v>
      </c>
      <c r="F36" s="3">
        <f t="shared" si="0"/>
        <v>15418135000000</v>
      </c>
    </row>
    <row r="37" spans="1:6" x14ac:dyDescent="0.35">
      <c r="A37" s="1">
        <v>36</v>
      </c>
      <c r="B37" s="1" t="s">
        <v>10</v>
      </c>
      <c r="C37" s="1">
        <v>2017</v>
      </c>
      <c r="D37" s="3">
        <v>241571728000000</v>
      </c>
      <c r="E37" s="3">
        <v>266305455000000</v>
      </c>
      <c r="F37" s="3">
        <f t="shared" si="0"/>
        <v>253938591500000</v>
      </c>
    </row>
    <row r="38" spans="1:6" x14ac:dyDescent="0.35">
      <c r="A38" s="1">
        <v>37</v>
      </c>
      <c r="B38" s="1" t="s">
        <v>10</v>
      </c>
      <c r="C38" s="1">
        <v>2018</v>
      </c>
      <c r="D38" s="3">
        <v>266305455000000</v>
      </c>
      <c r="E38" s="3">
        <v>266781498000000</v>
      </c>
      <c r="F38" s="3">
        <f t="shared" si="0"/>
        <v>266543476500000</v>
      </c>
    </row>
    <row r="39" spans="1:6" x14ac:dyDescent="0.35">
      <c r="A39" s="1">
        <v>38</v>
      </c>
      <c r="B39" s="1" t="s">
        <v>10</v>
      </c>
      <c r="C39" s="1">
        <v>2019</v>
      </c>
      <c r="D39" s="3">
        <v>266781498000000</v>
      </c>
      <c r="E39" s="3">
        <v>274467227000000</v>
      </c>
      <c r="F39" s="3">
        <f t="shared" si="0"/>
        <v>270624362500000</v>
      </c>
    </row>
    <row r="40" spans="1:6" x14ac:dyDescent="0.35">
      <c r="A40" s="1">
        <v>39</v>
      </c>
      <c r="B40" s="1" t="s">
        <v>10</v>
      </c>
      <c r="C40" s="1">
        <v>2020</v>
      </c>
      <c r="D40" s="3">
        <v>274467227000000</v>
      </c>
      <c r="E40" s="3">
        <v>280943605000000</v>
      </c>
      <c r="F40" s="3">
        <f t="shared" si="0"/>
        <v>277705416000000</v>
      </c>
    </row>
    <row r="41" spans="1:6" x14ac:dyDescent="0.35">
      <c r="A41" s="1">
        <v>40</v>
      </c>
      <c r="B41" s="1" t="s">
        <v>10</v>
      </c>
      <c r="C41" s="1">
        <v>2021</v>
      </c>
      <c r="D41" s="3">
        <v>280943605000000</v>
      </c>
      <c r="E41" s="3">
        <v>310786960000000</v>
      </c>
      <c r="F41" s="3">
        <f t="shared" si="0"/>
        <v>295865282500000</v>
      </c>
    </row>
    <row r="42" spans="1:6" x14ac:dyDescent="0.35">
      <c r="A42" s="1">
        <v>41</v>
      </c>
      <c r="B42" s="1" t="s">
        <v>11</v>
      </c>
      <c r="C42" s="1">
        <v>2017</v>
      </c>
      <c r="D42" s="3">
        <v>166678902000000</v>
      </c>
      <c r="E42" s="3">
        <v>173253491000000</v>
      </c>
      <c r="F42" s="3">
        <f t="shared" si="0"/>
        <v>169966196500000</v>
      </c>
    </row>
    <row r="43" spans="1:6" x14ac:dyDescent="0.35">
      <c r="A43" s="1">
        <v>42</v>
      </c>
      <c r="B43" s="1" t="s">
        <v>11</v>
      </c>
      <c r="C43" s="1">
        <v>2018</v>
      </c>
      <c r="D43" s="3">
        <v>173253491000000</v>
      </c>
      <c r="E43" s="3">
        <v>177532858000000</v>
      </c>
      <c r="F43" s="3">
        <f t="shared" si="0"/>
        <v>175393174500000</v>
      </c>
    </row>
    <row r="44" spans="1:6" x14ac:dyDescent="0.35">
      <c r="A44" s="1">
        <v>43</v>
      </c>
      <c r="B44" s="1" t="s">
        <v>11</v>
      </c>
      <c r="C44" s="1">
        <v>2019</v>
      </c>
      <c r="D44" s="3">
        <v>177532858000000</v>
      </c>
      <c r="E44" s="3">
        <v>169082830000000</v>
      </c>
      <c r="F44" s="3">
        <f t="shared" si="0"/>
        <v>173307844000000</v>
      </c>
    </row>
    <row r="45" spans="1:6" x14ac:dyDescent="0.35">
      <c r="A45" s="1">
        <v>44</v>
      </c>
      <c r="B45" s="1" t="s">
        <v>11</v>
      </c>
      <c r="C45" s="1">
        <v>2020</v>
      </c>
      <c r="D45" s="3">
        <v>169082830000000</v>
      </c>
      <c r="E45" s="3">
        <v>173224412000000</v>
      </c>
      <c r="F45" s="3">
        <f t="shared" si="0"/>
        <v>171153621000000</v>
      </c>
    </row>
    <row r="46" spans="1:6" x14ac:dyDescent="0.35">
      <c r="A46" s="1">
        <v>45</v>
      </c>
      <c r="B46" s="1" t="s">
        <v>11</v>
      </c>
      <c r="C46" s="1">
        <v>2021</v>
      </c>
      <c r="D46" s="3">
        <v>173224412000000</v>
      </c>
      <c r="E46" s="3">
        <v>168758476000000</v>
      </c>
      <c r="F46" s="3">
        <f t="shared" si="0"/>
        <v>170991444000000</v>
      </c>
    </row>
    <row r="47" spans="1:6" x14ac:dyDescent="0.35">
      <c r="A47" s="1">
        <v>46</v>
      </c>
      <c r="B47" s="1" t="s">
        <v>12</v>
      </c>
      <c r="C47" s="1">
        <v>2017</v>
      </c>
      <c r="D47" s="3">
        <v>165527512000000</v>
      </c>
      <c r="E47" s="3">
        <v>148328370000000</v>
      </c>
      <c r="F47" s="3">
        <f t="shared" si="0"/>
        <v>156927941000000</v>
      </c>
    </row>
    <row r="48" spans="1:6" x14ac:dyDescent="0.35">
      <c r="A48" s="1">
        <v>47</v>
      </c>
      <c r="B48" s="1" t="s">
        <v>12</v>
      </c>
      <c r="C48" s="1">
        <v>2018</v>
      </c>
      <c r="D48" s="3">
        <v>148328370000000</v>
      </c>
      <c r="E48" s="3">
        <v>152892866000000</v>
      </c>
      <c r="F48" s="3">
        <f t="shared" si="0"/>
        <v>150610618000000</v>
      </c>
    </row>
    <row r="49" spans="1:6" x14ac:dyDescent="0.35">
      <c r="A49" s="1">
        <v>48</v>
      </c>
      <c r="B49" s="1" t="s">
        <v>12</v>
      </c>
      <c r="C49" s="1">
        <v>2019</v>
      </c>
      <c r="D49" s="3">
        <v>152892866000000</v>
      </c>
      <c r="E49" s="3">
        <v>161451259000000</v>
      </c>
      <c r="F49" s="3">
        <f t="shared" si="0"/>
        <v>157172062500000</v>
      </c>
    </row>
    <row r="50" spans="1:6" x14ac:dyDescent="0.35">
      <c r="A50" s="1">
        <v>49</v>
      </c>
      <c r="B50" s="1" t="s">
        <v>12</v>
      </c>
      <c r="C50" s="1">
        <v>2020</v>
      </c>
      <c r="D50" s="3">
        <v>161451259000000</v>
      </c>
      <c r="E50" s="3">
        <v>197726097000000</v>
      </c>
      <c r="F50" s="3">
        <f t="shared" si="0"/>
        <v>179588678000000</v>
      </c>
    </row>
    <row r="51" spans="1:6" x14ac:dyDescent="0.35">
      <c r="A51" s="1">
        <v>50</v>
      </c>
      <c r="B51" s="1" t="s">
        <v>12</v>
      </c>
      <c r="C51" s="1">
        <v>2021</v>
      </c>
      <c r="D51" s="3">
        <v>197726097000000</v>
      </c>
      <c r="E51" s="3">
        <v>234379042000000</v>
      </c>
      <c r="F51" s="3">
        <f t="shared" si="0"/>
        <v>216052569500000</v>
      </c>
    </row>
    <row r="52" spans="1:6" x14ac:dyDescent="0.35">
      <c r="A52" s="1">
        <v>51</v>
      </c>
      <c r="B52" s="1" t="s">
        <v>13</v>
      </c>
      <c r="C52" s="1">
        <v>2017</v>
      </c>
      <c r="D52" s="3">
        <v>27643104000000</v>
      </c>
      <c r="E52" s="3">
        <v>29492933000000</v>
      </c>
      <c r="F52" s="3">
        <f t="shared" si="0"/>
        <v>28568018500000</v>
      </c>
    </row>
    <row r="53" spans="1:6" x14ac:dyDescent="0.35">
      <c r="A53" s="1">
        <v>52</v>
      </c>
      <c r="B53" s="1" t="s">
        <v>13</v>
      </c>
      <c r="C53" s="1">
        <v>2018</v>
      </c>
      <c r="D53" s="3">
        <v>29492933000000</v>
      </c>
      <c r="E53" s="3">
        <v>31496441000000</v>
      </c>
      <c r="F53" s="3">
        <f t="shared" si="0"/>
        <v>30494687000000</v>
      </c>
    </row>
    <row r="54" spans="1:6" x14ac:dyDescent="0.35">
      <c r="A54" s="1">
        <v>53</v>
      </c>
      <c r="B54" s="1" t="s">
        <v>13</v>
      </c>
      <c r="C54" s="1">
        <v>2019</v>
      </c>
      <c r="D54" s="3">
        <v>31496441000000</v>
      </c>
      <c r="E54" s="3">
        <v>35116853000000</v>
      </c>
      <c r="F54" s="3">
        <f t="shared" si="0"/>
        <v>33306647000000</v>
      </c>
    </row>
    <row r="55" spans="1:6" x14ac:dyDescent="0.35">
      <c r="A55" s="1">
        <v>54</v>
      </c>
      <c r="B55" s="1" t="s">
        <v>13</v>
      </c>
      <c r="C55" s="1">
        <v>2020</v>
      </c>
      <c r="D55" s="3">
        <v>35116853000000</v>
      </c>
      <c r="E55" s="3">
        <v>29230513000000</v>
      </c>
      <c r="F55" s="3">
        <f t="shared" si="0"/>
        <v>32173683000000</v>
      </c>
    </row>
    <row r="56" spans="1:6" x14ac:dyDescent="0.35">
      <c r="A56" s="1">
        <v>55</v>
      </c>
      <c r="B56" s="1" t="s">
        <v>13</v>
      </c>
      <c r="C56" s="1">
        <v>2021</v>
      </c>
      <c r="D56" s="3">
        <v>29230513000000</v>
      </c>
      <c r="E56" s="3">
        <v>23725885000000</v>
      </c>
      <c r="F56" s="3">
        <f t="shared" si="0"/>
        <v>26478199000000</v>
      </c>
    </row>
    <row r="57" spans="1:6" x14ac:dyDescent="0.35">
      <c r="A57" s="1">
        <v>56</v>
      </c>
      <c r="B57" s="1" t="s">
        <v>14</v>
      </c>
      <c r="C57" s="1">
        <v>2017</v>
      </c>
      <c r="D57" s="3">
        <v>25999981283000</v>
      </c>
      <c r="E57" s="3">
        <v>28825608648000</v>
      </c>
      <c r="F57" s="3">
        <f t="shared" si="0"/>
        <v>27412794965500</v>
      </c>
    </row>
    <row r="58" spans="1:6" x14ac:dyDescent="0.35">
      <c r="A58" s="1">
        <v>57</v>
      </c>
      <c r="B58" s="1" t="s">
        <v>14</v>
      </c>
      <c r="C58" s="1">
        <v>2018</v>
      </c>
      <c r="D58" s="3">
        <v>28825608648000</v>
      </c>
      <c r="E58" s="3">
        <v>30172315337000</v>
      </c>
      <c r="F58" s="3">
        <f t="shared" si="0"/>
        <v>29498961992500</v>
      </c>
    </row>
    <row r="59" spans="1:6" x14ac:dyDescent="0.35">
      <c r="A59" s="1">
        <v>58</v>
      </c>
      <c r="B59" s="1" t="s">
        <v>14</v>
      </c>
      <c r="C59" s="1">
        <v>2019</v>
      </c>
      <c r="D59" s="4">
        <v>30172315337000</v>
      </c>
      <c r="E59" s="4">
        <v>30456458802000</v>
      </c>
      <c r="F59" s="3">
        <f t="shared" si="0"/>
        <v>30314387069500</v>
      </c>
    </row>
    <row r="60" spans="1:6" x14ac:dyDescent="0.35">
      <c r="A60" s="1">
        <v>59</v>
      </c>
      <c r="B60" s="1" t="s">
        <v>14</v>
      </c>
      <c r="C60" s="1">
        <v>2020</v>
      </c>
      <c r="D60" s="4">
        <v>30456458802000</v>
      </c>
      <c r="E60" s="4">
        <v>26221407472000</v>
      </c>
      <c r="F60" s="3">
        <f t="shared" si="0"/>
        <v>28338933137000</v>
      </c>
    </row>
    <row r="61" spans="1:6" x14ac:dyDescent="0.35">
      <c r="A61" s="1">
        <v>60</v>
      </c>
      <c r="B61" s="1" t="s">
        <v>14</v>
      </c>
      <c r="C61" s="1">
        <v>2021</v>
      </c>
      <c r="D61" s="4">
        <v>26221407472000</v>
      </c>
      <c r="E61" s="4">
        <v>24947143045000</v>
      </c>
      <c r="F61" s="3">
        <f t="shared" si="0"/>
        <v>25584275258500</v>
      </c>
    </row>
    <row r="62" spans="1:6" x14ac:dyDescent="0.35">
      <c r="A62" s="1">
        <v>61</v>
      </c>
      <c r="B62" s="1" t="s">
        <v>15</v>
      </c>
      <c r="C62" s="1">
        <v>2017</v>
      </c>
      <c r="D62" s="4">
        <v>6744190348000</v>
      </c>
      <c r="E62" s="4">
        <v>9890847326000</v>
      </c>
      <c r="F62" s="3">
        <f t="shared" si="0"/>
        <v>8317518837000</v>
      </c>
    </row>
    <row r="63" spans="1:6" x14ac:dyDescent="0.35">
      <c r="A63" s="1">
        <v>62</v>
      </c>
      <c r="B63" s="1" t="s">
        <v>15</v>
      </c>
      <c r="C63" s="1">
        <v>2018</v>
      </c>
      <c r="D63" s="3">
        <v>9890847326000</v>
      </c>
      <c r="E63" s="3">
        <v>11103279117000</v>
      </c>
      <c r="F63" s="3">
        <f t="shared" si="0"/>
        <v>10497063221500</v>
      </c>
    </row>
    <row r="64" spans="1:6" x14ac:dyDescent="0.35">
      <c r="A64" s="1">
        <v>63</v>
      </c>
      <c r="B64" s="1" t="s">
        <v>15</v>
      </c>
      <c r="C64" s="1">
        <v>2019</v>
      </c>
      <c r="D64" s="3">
        <v>11103279117000</v>
      </c>
      <c r="E64" s="3">
        <v>12117478069000</v>
      </c>
      <c r="F64" s="3">
        <f t="shared" si="0"/>
        <v>11610378593000</v>
      </c>
    </row>
    <row r="65" spans="1:6" x14ac:dyDescent="0.35">
      <c r="A65" s="1">
        <v>64</v>
      </c>
      <c r="B65" s="1" t="s">
        <v>15</v>
      </c>
      <c r="C65" s="1">
        <v>2020</v>
      </c>
      <c r="D65" s="3">
        <v>12117478069000</v>
      </c>
      <c r="E65" s="3">
        <v>10917456216000</v>
      </c>
      <c r="F65" s="3">
        <f t="shared" si="0"/>
        <v>11517467142500</v>
      </c>
    </row>
    <row r="66" spans="1:6" x14ac:dyDescent="0.35">
      <c r="A66" s="1">
        <v>65</v>
      </c>
      <c r="B66" s="1" t="s">
        <v>15</v>
      </c>
      <c r="C66" s="1">
        <v>2021</v>
      </c>
      <c r="D66" s="3">
        <v>10917456216000</v>
      </c>
      <c r="E66" s="3">
        <v>7123904019000</v>
      </c>
      <c r="F66" s="3">
        <f t="shared" si="0"/>
        <v>9020680117500</v>
      </c>
    </row>
    <row r="67" spans="1:6" x14ac:dyDescent="0.35">
      <c r="A67" s="1">
        <v>66</v>
      </c>
      <c r="B67" s="1" t="s">
        <v>16</v>
      </c>
      <c r="C67" s="1">
        <v>2017</v>
      </c>
      <c r="D67" s="3">
        <v>3603950352000</v>
      </c>
      <c r="E67" s="3">
        <v>3850636684000</v>
      </c>
      <c r="F67" s="3">
        <f t="shared" si="0"/>
        <v>3727293518000</v>
      </c>
    </row>
    <row r="68" spans="1:6" x14ac:dyDescent="0.35">
      <c r="A68" s="1">
        <v>67</v>
      </c>
      <c r="B68" s="1" t="s">
        <v>16</v>
      </c>
      <c r="C68" s="1">
        <v>2018</v>
      </c>
      <c r="D68" s="3">
        <v>3850636684000</v>
      </c>
      <c r="E68" s="3">
        <v>2260886445000</v>
      </c>
      <c r="F68" s="3">
        <f t="shared" si="0"/>
        <v>3055761564500</v>
      </c>
    </row>
    <row r="69" spans="1:6" x14ac:dyDescent="0.35">
      <c r="A69" s="1">
        <v>68</v>
      </c>
      <c r="B69" s="1" t="s">
        <v>16</v>
      </c>
      <c r="C69" s="1">
        <v>2019</v>
      </c>
      <c r="D69" s="3">
        <v>2260886445000</v>
      </c>
      <c r="E69" s="3">
        <v>1191295498000</v>
      </c>
      <c r="F69" s="3">
        <f t="shared" si="0"/>
        <v>1726090971500</v>
      </c>
    </row>
    <row r="70" spans="1:6" x14ac:dyDescent="0.35">
      <c r="A70" s="1">
        <v>69</v>
      </c>
      <c r="B70" s="1" t="s">
        <v>16</v>
      </c>
      <c r="C70" s="1">
        <v>2020</v>
      </c>
      <c r="D70" s="3">
        <v>1191295498000</v>
      </c>
      <c r="E70" s="3">
        <v>772208525000</v>
      </c>
      <c r="F70" s="3">
        <f t="shared" si="0"/>
        <v>981752011500</v>
      </c>
    </row>
    <row r="71" spans="1:6" x14ac:dyDescent="0.35">
      <c r="A71" s="1">
        <v>70</v>
      </c>
      <c r="B71" s="1" t="s">
        <v>16</v>
      </c>
      <c r="C71" s="1">
        <v>2021</v>
      </c>
      <c r="D71" s="3">
        <v>772208525000</v>
      </c>
      <c r="E71" s="3">
        <v>1279780398000</v>
      </c>
      <c r="F71" s="3">
        <f t="shared" si="0"/>
        <v>1025994461500</v>
      </c>
    </row>
    <row r="72" spans="1:6" x14ac:dyDescent="0.35">
      <c r="A72" s="1">
        <v>71</v>
      </c>
      <c r="B72" s="1" t="s">
        <v>17</v>
      </c>
      <c r="C72" s="1">
        <v>2017</v>
      </c>
      <c r="D72" s="3">
        <v>60839102211000</v>
      </c>
      <c r="E72" s="3">
        <v>74745570167000</v>
      </c>
      <c r="F72" s="3">
        <f t="shared" si="0"/>
        <v>67792336189000</v>
      </c>
    </row>
    <row r="73" spans="1:6" x14ac:dyDescent="0.35">
      <c r="A73" s="1">
        <v>72</v>
      </c>
      <c r="B73" s="1" t="s">
        <v>17</v>
      </c>
      <c r="C73" s="1">
        <v>2018</v>
      </c>
      <c r="D73" s="3">
        <v>74745570000000</v>
      </c>
      <c r="E73" s="3">
        <v>86971893000000</v>
      </c>
      <c r="F73" s="3">
        <f t="shared" si="0"/>
        <v>80858731500000</v>
      </c>
    </row>
    <row r="74" spans="1:6" x14ac:dyDescent="0.35">
      <c r="A74" s="1">
        <v>73</v>
      </c>
      <c r="B74" s="1" t="s">
        <v>17</v>
      </c>
      <c r="C74" s="1">
        <v>2019</v>
      </c>
      <c r="D74" s="3">
        <v>86971893000000</v>
      </c>
      <c r="E74" s="3">
        <v>93408831000000</v>
      </c>
      <c r="F74" s="3">
        <f t="shared" si="0"/>
        <v>90190362000000</v>
      </c>
    </row>
    <row r="75" spans="1:6" x14ac:dyDescent="0.35">
      <c r="A75" s="1">
        <v>74</v>
      </c>
      <c r="B75" s="1" t="s">
        <v>17</v>
      </c>
      <c r="C75" s="1">
        <v>2020</v>
      </c>
      <c r="D75" s="3">
        <v>93408831000000</v>
      </c>
      <c r="E75" s="3">
        <v>92518025000000</v>
      </c>
      <c r="F75" s="3">
        <f t="shared" si="0"/>
        <v>92963428000000</v>
      </c>
    </row>
    <row r="76" spans="1:6" x14ac:dyDescent="0.35">
      <c r="A76" s="1">
        <v>75</v>
      </c>
      <c r="B76" s="1" t="s">
        <v>17</v>
      </c>
      <c r="C76" s="1">
        <v>2021</v>
      </c>
      <c r="D76" s="3">
        <v>92518025000000</v>
      </c>
      <c r="E76" s="3">
        <v>119104185000000</v>
      </c>
      <c r="F76" s="3">
        <f t="shared" si="0"/>
        <v>105811105000000</v>
      </c>
    </row>
    <row r="77" spans="1:6" x14ac:dyDescent="0.35">
      <c r="A77" s="1">
        <v>76</v>
      </c>
      <c r="B77" s="1" t="s">
        <v>18</v>
      </c>
      <c r="C77" s="1">
        <v>2017</v>
      </c>
      <c r="D77" s="3">
        <v>471888549139</v>
      </c>
      <c r="E77" s="3">
        <v>507913387670</v>
      </c>
      <c r="F77" s="3">
        <f t="shared" si="0"/>
        <v>489900968404.5</v>
      </c>
    </row>
    <row r="78" spans="1:6" x14ac:dyDescent="0.35">
      <c r="A78" s="1">
        <v>77</v>
      </c>
      <c r="B78" s="1" t="s">
        <v>18</v>
      </c>
      <c r="C78" s="1">
        <v>2018</v>
      </c>
      <c r="D78" s="3">
        <v>507913387670</v>
      </c>
      <c r="E78" s="3">
        <v>543334863433</v>
      </c>
      <c r="F78" s="3">
        <f t="shared" si="0"/>
        <v>525624125551.5</v>
      </c>
    </row>
    <row r="79" spans="1:6" x14ac:dyDescent="0.35">
      <c r="A79" s="1">
        <v>78</v>
      </c>
      <c r="B79" s="1" t="s">
        <v>18</v>
      </c>
      <c r="C79" s="1">
        <v>2019</v>
      </c>
      <c r="D79" s="3">
        <v>543334863433</v>
      </c>
      <c r="E79" s="3">
        <v>418394702709</v>
      </c>
      <c r="F79" s="3">
        <f t="shared" si="0"/>
        <v>480864783071</v>
      </c>
    </row>
    <row r="80" spans="1:6" x14ac:dyDescent="0.35">
      <c r="A80" s="1">
        <v>79</v>
      </c>
      <c r="B80" s="1" t="s">
        <v>18</v>
      </c>
      <c r="C80" s="1">
        <v>2020</v>
      </c>
      <c r="D80" s="3">
        <v>418394702709</v>
      </c>
      <c r="E80" s="3">
        <v>334609310613</v>
      </c>
      <c r="F80" s="3">
        <f t="shared" si="0"/>
        <v>376502006661</v>
      </c>
    </row>
    <row r="81" spans="1:6" x14ac:dyDescent="0.35">
      <c r="A81" s="1">
        <v>80</v>
      </c>
      <c r="B81" s="1" t="s">
        <v>18</v>
      </c>
      <c r="C81" s="1">
        <v>2021</v>
      </c>
      <c r="D81" s="3">
        <v>334609310613</v>
      </c>
      <c r="E81" s="3">
        <v>266587854693</v>
      </c>
      <c r="F81" s="3">
        <f t="shared" si="0"/>
        <v>300598582653</v>
      </c>
    </row>
    <row r="82" spans="1:6" x14ac:dyDescent="0.35">
      <c r="A82" s="1">
        <v>81</v>
      </c>
      <c r="B82" s="1" t="s">
        <v>19</v>
      </c>
      <c r="C82" s="1">
        <v>2017</v>
      </c>
      <c r="D82" s="3">
        <v>24973558000000</v>
      </c>
      <c r="E82" s="3">
        <v>26471320000000</v>
      </c>
      <c r="F82" s="3">
        <f t="shared" si="0"/>
        <v>25722439000000</v>
      </c>
    </row>
    <row r="83" spans="1:6" x14ac:dyDescent="0.35">
      <c r="A83" s="1">
        <v>82</v>
      </c>
      <c r="B83" s="1" t="s">
        <v>19</v>
      </c>
      <c r="C83" s="1">
        <v>2018</v>
      </c>
      <c r="D83" s="3">
        <v>26471320000000</v>
      </c>
      <c r="E83" s="3">
        <v>28252725000000</v>
      </c>
      <c r="F83" s="3">
        <f t="shared" si="0"/>
        <v>27362022500000</v>
      </c>
    </row>
    <row r="84" spans="1:6" x14ac:dyDescent="0.35">
      <c r="A84" s="1">
        <v>83</v>
      </c>
      <c r="B84" s="1" t="s">
        <v>19</v>
      </c>
      <c r="C84" s="1">
        <v>2019</v>
      </c>
      <c r="D84" s="3">
        <v>28252725000000</v>
      </c>
      <c r="E84" s="3">
        <v>30289386000000</v>
      </c>
      <c r="F84" s="3">
        <f t="shared" ref="F84:F147" si="1">(D84+E84)/2</f>
        <v>29271055500000</v>
      </c>
    </row>
    <row r="85" spans="1:6" x14ac:dyDescent="0.35">
      <c r="A85" s="1">
        <v>84</v>
      </c>
      <c r="B85" s="1" t="s">
        <v>19</v>
      </c>
      <c r="C85" s="1">
        <v>2020</v>
      </c>
      <c r="D85" s="3">
        <v>30289386000000</v>
      </c>
      <c r="E85" s="3">
        <v>32381721000000</v>
      </c>
      <c r="F85" s="3">
        <f t="shared" si="1"/>
        <v>31335553500000</v>
      </c>
    </row>
    <row r="86" spans="1:6" x14ac:dyDescent="0.35">
      <c r="A86" s="1">
        <v>85</v>
      </c>
      <c r="B86" s="1" t="s">
        <v>19</v>
      </c>
      <c r="C86" s="1">
        <v>2021</v>
      </c>
      <c r="D86" s="3">
        <v>32381721000000</v>
      </c>
      <c r="E86" s="3">
        <v>33192581000000</v>
      </c>
      <c r="F86" s="3">
        <f t="shared" si="1"/>
        <v>32787151000000</v>
      </c>
    </row>
    <row r="87" spans="1:6" x14ac:dyDescent="0.35">
      <c r="A87" s="1">
        <v>86</v>
      </c>
      <c r="B87" s="1" t="s">
        <v>20</v>
      </c>
      <c r="C87" s="1">
        <v>2017</v>
      </c>
      <c r="D87" s="3">
        <v>22630634000000</v>
      </c>
      <c r="E87" s="3">
        <v>27086504000000</v>
      </c>
      <c r="F87" s="3">
        <f t="shared" si="1"/>
        <v>24858569000000</v>
      </c>
    </row>
    <row r="88" spans="1:6" x14ac:dyDescent="0.35">
      <c r="A88" s="1">
        <v>87</v>
      </c>
      <c r="B88" s="1" t="s">
        <v>20</v>
      </c>
      <c r="C88" s="1">
        <v>2018</v>
      </c>
      <c r="D88" s="3">
        <v>27086504000000</v>
      </c>
      <c r="E88" s="3">
        <v>29631693000000</v>
      </c>
      <c r="F88" s="3">
        <f t="shared" si="1"/>
        <v>28359098500000</v>
      </c>
    </row>
    <row r="89" spans="1:6" x14ac:dyDescent="0.35">
      <c r="A89" s="1">
        <v>88</v>
      </c>
      <c r="B89" s="1" t="s">
        <v>20</v>
      </c>
      <c r="C89" s="1">
        <v>2019</v>
      </c>
      <c r="D89" s="3">
        <v>29631693000000</v>
      </c>
      <c r="E89" s="3">
        <v>36940436000000</v>
      </c>
      <c r="F89" s="3">
        <f t="shared" si="1"/>
        <v>33286064500000</v>
      </c>
    </row>
    <row r="90" spans="1:6" x14ac:dyDescent="0.35">
      <c r="A90" s="1">
        <v>89</v>
      </c>
      <c r="B90" s="1" t="s">
        <v>20</v>
      </c>
      <c r="C90" s="1">
        <v>2020</v>
      </c>
      <c r="D90" s="3">
        <v>36940436000000</v>
      </c>
      <c r="E90" s="3">
        <v>38053939000000</v>
      </c>
      <c r="F90" s="3">
        <f t="shared" si="1"/>
        <v>37497187500000</v>
      </c>
    </row>
    <row r="91" spans="1:6" x14ac:dyDescent="0.35">
      <c r="A91" s="1">
        <v>90</v>
      </c>
      <c r="B91" s="1" t="s">
        <v>20</v>
      </c>
      <c r="C91" s="1">
        <v>2021</v>
      </c>
      <c r="D91" s="3">
        <v>38053939000000</v>
      </c>
      <c r="E91" s="3">
        <v>43801571000000</v>
      </c>
      <c r="F91" s="3">
        <f t="shared" si="1"/>
        <v>40927755000000</v>
      </c>
    </row>
    <row r="92" spans="1:6" x14ac:dyDescent="0.35">
      <c r="A92" s="1">
        <v>91</v>
      </c>
      <c r="B92" s="1" t="s">
        <v>21</v>
      </c>
      <c r="C92" s="1">
        <v>2017</v>
      </c>
      <c r="D92" s="3">
        <v>73995121000000</v>
      </c>
      <c r="E92" s="3">
        <v>89086788000000</v>
      </c>
      <c r="F92" s="3">
        <f t="shared" si="1"/>
        <v>81540954500000</v>
      </c>
    </row>
    <row r="93" spans="1:6" x14ac:dyDescent="0.35">
      <c r="A93" s="1">
        <v>92</v>
      </c>
      <c r="B93" s="1" t="s">
        <v>21</v>
      </c>
      <c r="C93" s="1">
        <v>2018</v>
      </c>
      <c r="D93" s="3">
        <v>89086788000000</v>
      </c>
      <c r="E93" s="3">
        <v>100663451000000</v>
      </c>
      <c r="F93" s="3">
        <f t="shared" si="1"/>
        <v>94875119500000</v>
      </c>
    </row>
    <row r="94" spans="1:6" x14ac:dyDescent="0.35">
      <c r="A94" s="1">
        <v>93</v>
      </c>
      <c r="B94" s="1" t="s">
        <v>21</v>
      </c>
      <c r="C94" s="1">
        <v>2019</v>
      </c>
      <c r="D94" s="3">
        <v>100663451000000</v>
      </c>
      <c r="E94" s="3">
        <v>99624857000000</v>
      </c>
      <c r="F94" s="3">
        <f t="shared" si="1"/>
        <v>100144154000000</v>
      </c>
    </row>
    <row r="95" spans="1:6" x14ac:dyDescent="0.35">
      <c r="A95" s="1">
        <v>94</v>
      </c>
      <c r="B95" s="1" t="s">
        <v>21</v>
      </c>
      <c r="C95" s="1">
        <v>2020</v>
      </c>
      <c r="D95" s="3">
        <v>99624857000000</v>
      </c>
      <c r="E95" s="3">
        <v>108456227000000</v>
      </c>
      <c r="F95" s="3">
        <f t="shared" si="1"/>
        <v>104040542000000</v>
      </c>
    </row>
    <row r="96" spans="1:6" x14ac:dyDescent="0.35">
      <c r="A96" s="1">
        <v>95</v>
      </c>
      <c r="B96" s="1" t="s">
        <v>21</v>
      </c>
      <c r="C96" s="1">
        <v>2021</v>
      </c>
      <c r="D96" s="3">
        <v>108456227000000</v>
      </c>
      <c r="E96" s="3">
        <v>117509999000000</v>
      </c>
      <c r="F96" s="3">
        <f t="shared" si="1"/>
        <v>112983113000000</v>
      </c>
    </row>
    <row r="97" spans="1:6" x14ac:dyDescent="0.35">
      <c r="A97" s="1">
        <v>96</v>
      </c>
      <c r="B97" s="1" t="s">
        <v>22</v>
      </c>
      <c r="C97" s="1">
        <v>2017</v>
      </c>
      <c r="D97" s="3">
        <v>6670916000000</v>
      </c>
      <c r="E97" s="3">
        <v>7745732000000</v>
      </c>
      <c r="F97" s="3">
        <f t="shared" si="1"/>
        <v>7208324000000</v>
      </c>
    </row>
    <row r="98" spans="1:6" x14ac:dyDescent="0.35">
      <c r="A98" s="1">
        <v>97</v>
      </c>
      <c r="B98" s="1" t="s">
        <v>22</v>
      </c>
      <c r="C98" s="1">
        <v>2018</v>
      </c>
      <c r="D98" s="3">
        <v>7745732000000</v>
      </c>
      <c r="E98" s="3">
        <v>8827307000000</v>
      </c>
      <c r="F98" s="3">
        <f t="shared" si="1"/>
        <v>8286519500000</v>
      </c>
    </row>
    <row r="99" spans="1:6" x14ac:dyDescent="0.35">
      <c r="A99" s="1">
        <v>98</v>
      </c>
      <c r="B99" s="1" t="s">
        <v>22</v>
      </c>
      <c r="C99" s="1">
        <v>2019</v>
      </c>
      <c r="D99" s="3">
        <v>8827307000000</v>
      </c>
      <c r="E99" s="3">
        <v>8271170000000</v>
      </c>
      <c r="F99" s="3">
        <f t="shared" si="1"/>
        <v>8549238500000</v>
      </c>
    </row>
    <row r="100" spans="1:6" x14ac:dyDescent="0.35">
      <c r="A100" s="1">
        <v>99</v>
      </c>
      <c r="B100" s="1" t="s">
        <v>22</v>
      </c>
      <c r="C100" s="1">
        <v>2020</v>
      </c>
      <c r="D100" s="3">
        <v>8271170000000</v>
      </c>
      <c r="E100" s="3">
        <v>5283702000000</v>
      </c>
      <c r="F100" s="3">
        <f t="shared" si="1"/>
        <v>6777436000000</v>
      </c>
    </row>
    <row r="101" spans="1:6" x14ac:dyDescent="0.35">
      <c r="A101" s="1">
        <v>100</v>
      </c>
      <c r="B101" s="1" t="s">
        <v>22</v>
      </c>
      <c r="C101" s="1">
        <v>2021</v>
      </c>
      <c r="D101" s="3">
        <v>5283702000000</v>
      </c>
      <c r="E101" s="3">
        <v>5151084000000</v>
      </c>
      <c r="F101" s="3">
        <f t="shared" si="1"/>
        <v>5217393000000</v>
      </c>
    </row>
    <row r="102" spans="1:6" ht="15.5" x14ac:dyDescent="0.35">
      <c r="A102" s="1">
        <v>101</v>
      </c>
      <c r="B102" s="2" t="s">
        <v>78</v>
      </c>
      <c r="C102" s="25">
        <v>2017</v>
      </c>
      <c r="D102" s="3">
        <v>1063856088000</v>
      </c>
      <c r="E102" s="27">
        <v>1076575416000</v>
      </c>
      <c r="F102" s="3">
        <f t="shared" si="1"/>
        <v>1070215752000</v>
      </c>
    </row>
    <row r="103" spans="1:6" ht="15.5" x14ac:dyDescent="0.35">
      <c r="A103" s="1">
        <v>102</v>
      </c>
      <c r="B103" s="2"/>
      <c r="C103" s="25">
        <v>2018</v>
      </c>
      <c r="D103" s="28">
        <f>E102</f>
        <v>1076575416000</v>
      </c>
      <c r="E103" s="27">
        <v>1061398832000</v>
      </c>
      <c r="F103" s="3">
        <f t="shared" si="1"/>
        <v>1068987124000</v>
      </c>
    </row>
    <row r="104" spans="1:6" ht="15.5" x14ac:dyDescent="0.35">
      <c r="A104" s="1">
        <v>103</v>
      </c>
      <c r="B104" s="2"/>
      <c r="C104" s="25">
        <v>2019</v>
      </c>
      <c r="D104" s="28">
        <f t="shared" ref="D104:D106" si="2">E103</f>
        <v>1061398832000</v>
      </c>
      <c r="E104" s="27">
        <v>1158038755000</v>
      </c>
      <c r="F104" s="3">
        <f t="shared" si="1"/>
        <v>1109718793500</v>
      </c>
    </row>
    <row r="105" spans="1:6" ht="15.5" x14ac:dyDescent="0.35">
      <c r="A105" s="1">
        <v>104</v>
      </c>
      <c r="B105" s="2"/>
      <c r="C105" s="25">
        <v>2020</v>
      </c>
      <c r="D105" s="28">
        <f t="shared" si="2"/>
        <v>1158038755000</v>
      </c>
      <c r="E105" s="27">
        <v>859876511000</v>
      </c>
      <c r="F105" s="3">
        <f t="shared" si="1"/>
        <v>1008957633000</v>
      </c>
    </row>
    <row r="106" spans="1:6" ht="15.5" x14ac:dyDescent="0.35">
      <c r="A106" s="1">
        <v>105</v>
      </c>
      <c r="B106" s="2"/>
      <c r="C106" s="25">
        <v>2021</v>
      </c>
      <c r="D106" s="28">
        <f t="shared" si="2"/>
        <v>859876511000</v>
      </c>
      <c r="E106" s="27">
        <v>822740369000</v>
      </c>
      <c r="F106" s="3">
        <f t="shared" si="1"/>
        <v>841308440000</v>
      </c>
    </row>
    <row r="107" spans="1:6" ht="15.5" x14ac:dyDescent="0.35">
      <c r="A107" s="1">
        <v>106</v>
      </c>
      <c r="B107" s="2" t="s">
        <v>79</v>
      </c>
      <c r="C107" s="25">
        <v>2017</v>
      </c>
      <c r="D107" s="27">
        <v>105406002000000</v>
      </c>
      <c r="E107" s="27">
        <v>106442999000000</v>
      </c>
      <c r="F107" s="3">
        <f t="shared" si="1"/>
        <v>105924500500000</v>
      </c>
    </row>
    <row r="108" spans="1:6" ht="15.5" x14ac:dyDescent="0.35">
      <c r="A108" s="1">
        <v>107</v>
      </c>
      <c r="B108" s="2"/>
      <c r="C108" s="25">
        <v>2018</v>
      </c>
      <c r="D108" s="28">
        <f>E107</f>
        <v>106442999000000</v>
      </c>
      <c r="E108" s="27">
        <v>95643923000000</v>
      </c>
      <c r="F108" s="3">
        <f t="shared" si="1"/>
        <v>101043461000000</v>
      </c>
    </row>
    <row r="109" spans="1:6" ht="15.5" x14ac:dyDescent="0.35">
      <c r="A109" s="1">
        <v>108</v>
      </c>
      <c r="B109" s="2"/>
      <c r="C109" s="25">
        <v>2019</v>
      </c>
      <c r="D109" s="28">
        <f t="shared" ref="D109:D111" si="3">E108</f>
        <v>95643923000000</v>
      </c>
      <c r="E109" s="27">
        <v>100264248000000</v>
      </c>
      <c r="F109" s="3">
        <f t="shared" si="1"/>
        <v>97954085500000</v>
      </c>
    </row>
    <row r="110" spans="1:6" ht="15.5" x14ac:dyDescent="0.35">
      <c r="A110" s="1">
        <v>109</v>
      </c>
      <c r="B110" s="2"/>
      <c r="C110" s="25">
        <v>2020</v>
      </c>
      <c r="D110" s="28">
        <f t="shared" si="3"/>
        <v>100264248000000</v>
      </c>
      <c r="E110" s="27">
        <v>79938578000000</v>
      </c>
      <c r="F110" s="3">
        <f t="shared" si="1"/>
        <v>90101413000000</v>
      </c>
    </row>
    <row r="111" spans="1:6" ht="15.5" x14ac:dyDescent="0.35">
      <c r="A111" s="1">
        <v>110</v>
      </c>
      <c r="B111" s="2"/>
      <c r="C111" s="25">
        <v>2021</v>
      </c>
      <c r="D111" s="28">
        <f t="shared" si="3"/>
        <v>79938578000000</v>
      </c>
      <c r="E111" s="27">
        <v>89215674000000</v>
      </c>
      <c r="F111" s="3">
        <f t="shared" si="1"/>
        <v>84577126000000</v>
      </c>
    </row>
    <row r="112" spans="1:6" ht="15.5" x14ac:dyDescent="0.35">
      <c r="A112" s="1">
        <v>111</v>
      </c>
      <c r="B112" s="2" t="s">
        <v>80</v>
      </c>
      <c r="C112" s="25">
        <v>2017</v>
      </c>
      <c r="D112" s="27">
        <v>10588224193569</v>
      </c>
      <c r="E112" s="27">
        <v>11817844456356</v>
      </c>
      <c r="F112" s="3">
        <f t="shared" si="1"/>
        <v>11203034324962.5</v>
      </c>
    </row>
    <row r="113" spans="1:6" ht="15.5" x14ac:dyDescent="0.35">
      <c r="A113" s="1">
        <v>112</v>
      </c>
      <c r="B113" s="2"/>
      <c r="C113" s="25">
        <v>2018</v>
      </c>
      <c r="D113" s="28">
        <f>E112</f>
        <v>11817844456356</v>
      </c>
      <c r="E113" s="27">
        <v>12093079368934</v>
      </c>
      <c r="F113" s="3">
        <f t="shared" si="1"/>
        <v>11955461912645</v>
      </c>
    </row>
    <row r="114" spans="1:6" ht="15.5" x14ac:dyDescent="0.35">
      <c r="A114" s="1">
        <v>113</v>
      </c>
      <c r="B114" s="2"/>
      <c r="C114" s="25">
        <v>2019</v>
      </c>
      <c r="D114" s="28">
        <f t="shared" ref="D114:D116" si="4">E113</f>
        <v>12093079368934</v>
      </c>
      <c r="E114" s="27">
        <v>12900218775263</v>
      </c>
      <c r="F114" s="3">
        <f t="shared" si="1"/>
        <v>12496649072098.5</v>
      </c>
    </row>
    <row r="115" spans="1:6" ht="15.5" x14ac:dyDescent="0.35">
      <c r="A115" s="1">
        <v>114</v>
      </c>
      <c r="B115" s="2"/>
      <c r="C115" s="25">
        <v>2020</v>
      </c>
      <c r="D115" s="28">
        <f t="shared" si="4"/>
        <v>12900218775263</v>
      </c>
      <c r="E115" s="27">
        <v>14159755232533</v>
      </c>
      <c r="F115" s="3">
        <f t="shared" si="1"/>
        <v>13529987003898</v>
      </c>
    </row>
    <row r="116" spans="1:6" ht="15.5" x14ac:dyDescent="0.35">
      <c r="A116" s="1">
        <v>115</v>
      </c>
      <c r="B116" s="2"/>
      <c r="C116" s="25">
        <v>2021</v>
      </c>
      <c r="D116" s="28">
        <f t="shared" si="4"/>
        <v>14159755232533</v>
      </c>
      <c r="E116" s="27">
        <v>15983152301240</v>
      </c>
      <c r="F116" s="3">
        <f t="shared" si="1"/>
        <v>15071453766886.5</v>
      </c>
    </row>
    <row r="117" spans="1:6" ht="15.5" x14ac:dyDescent="0.35">
      <c r="A117" s="1">
        <v>116</v>
      </c>
      <c r="B117" s="2" t="s">
        <v>81</v>
      </c>
      <c r="C117" s="25">
        <v>2017</v>
      </c>
      <c r="D117" s="27">
        <v>878426312000000</v>
      </c>
      <c r="E117" s="27">
        <v>1127447489000000</v>
      </c>
      <c r="F117" s="3">
        <f t="shared" si="1"/>
        <v>1002936900500000</v>
      </c>
    </row>
    <row r="118" spans="1:6" ht="15.5" x14ac:dyDescent="0.35">
      <c r="A118" s="1">
        <v>117</v>
      </c>
      <c r="B118" s="2"/>
      <c r="C118" s="25">
        <v>2018</v>
      </c>
      <c r="D118" s="28">
        <f>E117</f>
        <v>1127447489000000</v>
      </c>
      <c r="E118" s="27">
        <v>1296898292000000</v>
      </c>
      <c r="F118" s="3">
        <f t="shared" si="1"/>
        <v>1212172890500000</v>
      </c>
    </row>
    <row r="119" spans="1:6" ht="15.5" x14ac:dyDescent="0.35">
      <c r="A119" s="1">
        <v>118</v>
      </c>
      <c r="B119" s="2"/>
      <c r="C119" s="25">
        <v>2019</v>
      </c>
      <c r="D119" s="28">
        <f t="shared" ref="D119:D121" si="5">E118</f>
        <v>1296898292000000</v>
      </c>
      <c r="E119" s="27">
        <v>1416758840000000</v>
      </c>
      <c r="F119" s="3">
        <f t="shared" si="1"/>
        <v>1356828566000000</v>
      </c>
    </row>
    <row r="120" spans="1:6" ht="15.5" x14ac:dyDescent="0.35">
      <c r="A120" s="1">
        <v>119</v>
      </c>
      <c r="B120" s="2"/>
      <c r="C120" s="25">
        <v>2020</v>
      </c>
      <c r="D120" s="28">
        <f t="shared" si="5"/>
        <v>1416758840000000</v>
      </c>
      <c r="E120" s="27">
        <v>1610065344000000</v>
      </c>
      <c r="F120" s="3">
        <f t="shared" si="1"/>
        <v>1513412092000000</v>
      </c>
    </row>
    <row r="121" spans="1:6" ht="15.5" x14ac:dyDescent="0.35">
      <c r="A121" s="1">
        <v>120</v>
      </c>
      <c r="B121" s="2"/>
      <c r="C121" s="25">
        <v>2021</v>
      </c>
      <c r="D121" s="28">
        <f t="shared" si="5"/>
        <v>1610065344000000</v>
      </c>
      <c r="E121" s="27">
        <v>1678097734000000</v>
      </c>
      <c r="F121" s="3">
        <f t="shared" si="1"/>
        <v>1644081539000000</v>
      </c>
    </row>
    <row r="122" spans="1:6" ht="15.5" x14ac:dyDescent="0.35">
      <c r="A122" s="1">
        <v>121</v>
      </c>
      <c r="B122" s="2" t="s">
        <v>82</v>
      </c>
      <c r="C122" s="25">
        <v>2017</v>
      </c>
      <c r="D122" s="27">
        <v>4846528413826</v>
      </c>
      <c r="E122" s="27">
        <v>5004795018159</v>
      </c>
      <c r="F122" s="3">
        <f t="shared" si="1"/>
        <v>4925661715992.5</v>
      </c>
    </row>
    <row r="123" spans="1:6" ht="15.5" x14ac:dyDescent="0.35">
      <c r="A123" s="1">
        <v>122</v>
      </c>
      <c r="B123" s="2"/>
      <c r="C123" s="25">
        <v>2018</v>
      </c>
      <c r="D123" s="28">
        <f>E122</f>
        <v>5004795018159</v>
      </c>
      <c r="E123" s="27">
        <v>4533729146622</v>
      </c>
      <c r="F123" s="3">
        <f t="shared" si="1"/>
        <v>4769262082390.5</v>
      </c>
    </row>
    <row r="124" spans="1:6" ht="15.5" x14ac:dyDescent="0.35">
      <c r="A124" s="1">
        <v>123</v>
      </c>
      <c r="B124" s="2"/>
      <c r="C124" s="25">
        <v>2019</v>
      </c>
      <c r="D124" s="28">
        <f t="shared" ref="D124:D126" si="6">E123</f>
        <v>4533729146622</v>
      </c>
      <c r="E124" s="27">
        <v>5123734649117</v>
      </c>
      <c r="F124" s="3">
        <f t="shared" si="1"/>
        <v>4828731897869.5</v>
      </c>
    </row>
    <row r="125" spans="1:6" ht="15.5" x14ac:dyDescent="0.35">
      <c r="A125" s="1">
        <v>124</v>
      </c>
      <c r="B125" s="2"/>
      <c r="C125" s="25">
        <v>2020</v>
      </c>
      <c r="D125" s="28">
        <f t="shared" si="6"/>
        <v>5123734649117</v>
      </c>
      <c r="E125" s="27">
        <v>5421324398438</v>
      </c>
      <c r="F125" s="3">
        <f t="shared" si="1"/>
        <v>5272529523777.5</v>
      </c>
    </row>
    <row r="126" spans="1:6" ht="15.5" x14ac:dyDescent="0.35">
      <c r="A126" s="1">
        <v>125</v>
      </c>
      <c r="B126" s="2"/>
      <c r="C126" s="25">
        <v>2021</v>
      </c>
      <c r="D126" s="28">
        <f t="shared" si="6"/>
        <v>5421324398438</v>
      </c>
      <c r="E126" s="27">
        <v>11337808684383</v>
      </c>
      <c r="F126" s="3">
        <f t="shared" si="1"/>
        <v>8379566541410.5</v>
      </c>
    </row>
    <row r="127" spans="1:6" ht="15.5" x14ac:dyDescent="0.35">
      <c r="A127" s="1">
        <v>126</v>
      </c>
      <c r="B127" s="2" t="s">
        <v>83</v>
      </c>
      <c r="C127" s="25">
        <v>2017</v>
      </c>
      <c r="D127" s="27">
        <v>2359089000000</v>
      </c>
      <c r="E127" s="27">
        <v>3123345000000</v>
      </c>
      <c r="F127" s="3">
        <f t="shared" si="1"/>
        <v>2741217000000</v>
      </c>
    </row>
    <row r="128" spans="1:6" ht="15.5" x14ac:dyDescent="0.35">
      <c r="A128" s="1">
        <v>127</v>
      </c>
      <c r="B128" s="2"/>
      <c r="C128" s="25">
        <v>2018</v>
      </c>
      <c r="D128" s="28">
        <f>E127</f>
        <v>3123345000000</v>
      </c>
      <c r="E128" s="27">
        <v>3854174000000</v>
      </c>
      <c r="F128" s="3">
        <f t="shared" si="1"/>
        <v>3488759500000</v>
      </c>
    </row>
    <row r="129" spans="1:6" ht="15.5" x14ac:dyDescent="0.35">
      <c r="A129" s="1">
        <v>128</v>
      </c>
      <c r="B129" s="2"/>
      <c r="C129" s="25">
        <v>2019</v>
      </c>
      <c r="D129" s="28">
        <f t="shared" ref="D129:D131" si="7">E128</f>
        <v>3854174000000</v>
      </c>
      <c r="E129" s="27">
        <v>5262429000000</v>
      </c>
      <c r="F129" s="3">
        <f t="shared" si="1"/>
        <v>4558301500000</v>
      </c>
    </row>
    <row r="130" spans="1:6" ht="15.5" x14ac:dyDescent="0.35">
      <c r="A130" s="1">
        <v>129</v>
      </c>
      <c r="B130" s="2"/>
      <c r="C130" s="25">
        <v>2020</v>
      </c>
      <c r="D130" s="28">
        <f t="shared" si="7"/>
        <v>5262429000000</v>
      </c>
      <c r="E130" s="27">
        <v>8437685000000</v>
      </c>
      <c r="F130" s="3">
        <f t="shared" si="1"/>
        <v>6850057000000</v>
      </c>
    </row>
    <row r="131" spans="1:6" ht="15.5" x14ac:dyDescent="0.35">
      <c r="A131" s="1">
        <v>130</v>
      </c>
      <c r="B131" s="2"/>
      <c r="C131" s="25">
        <v>2021</v>
      </c>
      <c r="D131" s="28">
        <f t="shared" si="7"/>
        <v>8437685000000</v>
      </c>
      <c r="E131" s="27">
        <v>15055850000000</v>
      </c>
      <c r="F131" s="3">
        <f t="shared" si="1"/>
        <v>11746767500000</v>
      </c>
    </row>
    <row r="132" spans="1:6" ht="15.5" x14ac:dyDescent="0.35">
      <c r="A132" s="1">
        <v>131</v>
      </c>
      <c r="B132" s="2" t="s">
        <v>84</v>
      </c>
      <c r="C132" s="25">
        <v>2017</v>
      </c>
      <c r="D132" s="27">
        <v>43032950000000</v>
      </c>
      <c r="E132" s="27">
        <v>51518581000000</v>
      </c>
      <c r="F132" s="3">
        <f t="shared" si="1"/>
        <v>47275765500000</v>
      </c>
    </row>
    <row r="133" spans="1:6" ht="15.5" x14ac:dyDescent="0.35">
      <c r="A133" s="1">
        <v>132</v>
      </c>
      <c r="B133" s="2"/>
      <c r="C133" s="25">
        <v>2018</v>
      </c>
      <c r="D133" s="28">
        <f>E132</f>
        <v>51518581000000</v>
      </c>
      <c r="E133" s="27">
        <v>62689118000000</v>
      </c>
      <c r="F133" s="3">
        <f t="shared" si="1"/>
        <v>57103849500000</v>
      </c>
    </row>
    <row r="134" spans="1:6" ht="15.5" x14ac:dyDescent="0.35">
      <c r="A134" s="1">
        <v>133</v>
      </c>
      <c r="B134" s="2"/>
      <c r="C134" s="25">
        <v>2019</v>
      </c>
      <c r="D134" s="28">
        <f t="shared" ref="D134:D136" si="8">E133</f>
        <v>62689118000000</v>
      </c>
      <c r="E134" s="27">
        <v>76756313000000</v>
      </c>
      <c r="F134" s="3">
        <f t="shared" si="1"/>
        <v>69722715500000</v>
      </c>
    </row>
    <row r="135" spans="1:6" ht="15.5" x14ac:dyDescent="0.35">
      <c r="A135" s="1">
        <v>134</v>
      </c>
      <c r="B135" s="2"/>
      <c r="C135" s="25">
        <v>2020</v>
      </c>
      <c r="D135" s="28">
        <f t="shared" si="8"/>
        <v>76756313000000</v>
      </c>
      <c r="E135" s="27">
        <v>83619452000000</v>
      </c>
      <c r="F135" s="3">
        <f t="shared" si="1"/>
        <v>80187882500000</v>
      </c>
    </row>
    <row r="136" spans="1:6" ht="15.5" x14ac:dyDescent="0.35">
      <c r="A136" s="1">
        <v>135</v>
      </c>
      <c r="B136" s="2"/>
      <c r="C136" s="25">
        <v>2021</v>
      </c>
      <c r="D136" s="28">
        <f t="shared" si="8"/>
        <v>83619452000000</v>
      </c>
      <c r="E136" s="27">
        <v>100723330000000</v>
      </c>
      <c r="F136" s="3">
        <f t="shared" si="1"/>
        <v>92171391000000</v>
      </c>
    </row>
    <row r="137" spans="1:6" ht="15.5" x14ac:dyDescent="0.35">
      <c r="A137" s="1">
        <v>136</v>
      </c>
      <c r="B137" s="2" t="s">
        <v>85</v>
      </c>
      <c r="C137" s="25">
        <v>2017</v>
      </c>
      <c r="D137" s="27">
        <v>1038706009000000</v>
      </c>
      <c r="E137" s="27">
        <v>1124700847000000</v>
      </c>
      <c r="F137" s="3">
        <f t="shared" si="1"/>
        <v>1081703428000000</v>
      </c>
    </row>
    <row r="138" spans="1:6" ht="15.5" x14ac:dyDescent="0.35">
      <c r="A138" s="1">
        <v>137</v>
      </c>
      <c r="B138" s="2"/>
      <c r="C138" s="25">
        <v>2018</v>
      </c>
      <c r="D138" s="28">
        <f>E137</f>
        <v>1124700847000000</v>
      </c>
      <c r="E138" s="27">
        <v>1202252094000000</v>
      </c>
      <c r="F138" s="3">
        <f t="shared" si="1"/>
        <v>1163476470500000</v>
      </c>
    </row>
    <row r="139" spans="1:6" ht="15.5" x14ac:dyDescent="0.35">
      <c r="A139" s="1">
        <v>138</v>
      </c>
      <c r="B139" s="2"/>
      <c r="C139" s="25">
        <v>2019</v>
      </c>
      <c r="D139" s="28">
        <f t="shared" ref="D139:D141" si="9">E138</f>
        <v>1202252094000000</v>
      </c>
      <c r="E139" s="27">
        <v>1318246335000000</v>
      </c>
      <c r="F139" s="3">
        <f t="shared" si="1"/>
        <v>1260249214500000</v>
      </c>
    </row>
    <row r="140" spans="1:6" ht="15.5" x14ac:dyDescent="0.35">
      <c r="A140" s="1">
        <v>139</v>
      </c>
      <c r="B140" s="2"/>
      <c r="C140" s="25">
        <v>2020</v>
      </c>
      <c r="D140" s="28">
        <f t="shared" si="9"/>
        <v>1318246335000000</v>
      </c>
      <c r="E140" s="27">
        <v>1429334484000000</v>
      </c>
      <c r="F140" s="3">
        <f t="shared" si="1"/>
        <v>1373790409500000</v>
      </c>
    </row>
    <row r="141" spans="1:6" ht="15.5" x14ac:dyDescent="0.35">
      <c r="A141" s="1">
        <v>140</v>
      </c>
      <c r="B141" s="2"/>
      <c r="C141" s="25">
        <v>2021</v>
      </c>
      <c r="D141" s="28">
        <f t="shared" si="9"/>
        <v>1429334484000000</v>
      </c>
      <c r="E141" s="27">
        <v>1725611128000000</v>
      </c>
      <c r="F141" s="3">
        <f t="shared" si="1"/>
        <v>1577472806000000</v>
      </c>
    </row>
    <row r="142" spans="1:6" ht="15.5" x14ac:dyDescent="0.35">
      <c r="A142" s="1">
        <v>141</v>
      </c>
      <c r="B142" s="2" t="s">
        <v>86</v>
      </c>
      <c r="C142" s="25">
        <v>2017</v>
      </c>
      <c r="D142" s="27">
        <v>7121173332944</v>
      </c>
      <c r="E142" s="27">
        <v>7014677335611</v>
      </c>
      <c r="F142" s="3">
        <f t="shared" si="1"/>
        <v>7067925334277.5</v>
      </c>
    </row>
    <row r="143" spans="1:6" ht="15.5" x14ac:dyDescent="0.35">
      <c r="A143" s="1">
        <v>142</v>
      </c>
      <c r="B143" s="2"/>
      <c r="C143" s="25">
        <v>2018</v>
      </c>
      <c r="D143" s="28">
        <f>E142</f>
        <v>7014677335611</v>
      </c>
      <c r="E143" s="27">
        <v>7297273467260</v>
      </c>
      <c r="F143" s="3">
        <f t="shared" si="1"/>
        <v>7155975401435.5</v>
      </c>
    </row>
    <row r="144" spans="1:6" ht="15.5" x14ac:dyDescent="0.35">
      <c r="A144" s="1">
        <v>143</v>
      </c>
      <c r="B144" s="2"/>
      <c r="C144" s="25">
        <v>2019</v>
      </c>
      <c r="D144" s="28">
        <f t="shared" ref="D144:D146" si="10">E143</f>
        <v>7297273467260</v>
      </c>
      <c r="E144" s="27">
        <v>7607653715376</v>
      </c>
      <c r="F144" s="3">
        <f t="shared" si="1"/>
        <v>7452463591318</v>
      </c>
    </row>
    <row r="145" spans="1:6" ht="15.5" x14ac:dyDescent="0.35">
      <c r="A145" s="1">
        <v>144</v>
      </c>
      <c r="B145" s="2"/>
      <c r="C145" s="25">
        <v>2020</v>
      </c>
      <c r="D145" s="28">
        <f t="shared" si="10"/>
        <v>7607653715376</v>
      </c>
      <c r="E145" s="27">
        <v>7637524325854</v>
      </c>
      <c r="F145" s="3">
        <f t="shared" si="1"/>
        <v>7622589020615</v>
      </c>
    </row>
    <row r="146" spans="1:6" ht="15.5" x14ac:dyDescent="0.35">
      <c r="A146" s="1">
        <v>145</v>
      </c>
      <c r="B146" s="2"/>
      <c r="C146" s="25">
        <v>2021</v>
      </c>
      <c r="D146" s="28">
        <f t="shared" si="10"/>
        <v>7637524325854</v>
      </c>
      <c r="E146" s="27">
        <v>8666525828600</v>
      </c>
      <c r="F146" s="3">
        <f t="shared" si="1"/>
        <v>8152025077227</v>
      </c>
    </row>
    <row r="147" spans="1:6" ht="15.5" x14ac:dyDescent="0.35">
      <c r="A147" s="1">
        <v>146</v>
      </c>
      <c r="B147" s="2" t="s">
        <v>87</v>
      </c>
      <c r="C147" s="25">
        <v>2017</v>
      </c>
      <c r="D147" s="27">
        <v>11377960721000</v>
      </c>
      <c r="E147" s="27">
        <v>16322593372000</v>
      </c>
      <c r="F147" s="3">
        <f t="shared" si="1"/>
        <v>13850277046500</v>
      </c>
    </row>
    <row r="148" spans="1:6" ht="15.5" x14ac:dyDescent="0.35">
      <c r="A148" s="1">
        <v>147</v>
      </c>
      <c r="B148" s="2"/>
      <c r="C148" s="25">
        <v>2018</v>
      </c>
      <c r="D148" s="28">
        <f>E147</f>
        <v>16322593372000</v>
      </c>
      <c r="E148" s="27">
        <v>23313671252000</v>
      </c>
      <c r="F148" s="3">
        <f t="shared" ref="F148:F176" si="11">(D148+E148)/2</f>
        <v>19818132312000</v>
      </c>
    </row>
    <row r="149" spans="1:6" ht="15.5" x14ac:dyDescent="0.35">
      <c r="A149" s="1">
        <v>148</v>
      </c>
      <c r="B149" s="2"/>
      <c r="C149" s="25">
        <v>2019</v>
      </c>
      <c r="D149" s="28">
        <f t="shared" ref="D149:D151" si="12">E148</f>
        <v>23313671252000</v>
      </c>
      <c r="E149" s="27">
        <v>27067922912000</v>
      </c>
      <c r="F149" s="3">
        <f t="shared" si="11"/>
        <v>25190797082000</v>
      </c>
    </row>
    <row r="150" spans="1:6" ht="15.5" x14ac:dyDescent="0.35">
      <c r="A150" s="1">
        <v>149</v>
      </c>
      <c r="B150" s="2"/>
      <c r="C150" s="25">
        <v>2020</v>
      </c>
      <c r="D150" s="28">
        <f t="shared" si="12"/>
        <v>27067922912000</v>
      </c>
      <c r="E150" s="27">
        <v>28015492262000</v>
      </c>
      <c r="F150" s="3">
        <f t="shared" si="11"/>
        <v>27541707587000</v>
      </c>
    </row>
    <row r="151" spans="1:6" ht="15.5" x14ac:dyDescent="0.35">
      <c r="A151" s="1">
        <v>150</v>
      </c>
      <c r="B151" s="2"/>
      <c r="C151" s="25">
        <v>2021</v>
      </c>
      <c r="D151" s="28">
        <f t="shared" si="12"/>
        <v>28015492262000</v>
      </c>
      <c r="E151" s="27">
        <v>16866522655000</v>
      </c>
      <c r="F151" s="3">
        <f t="shared" si="11"/>
        <v>22441007458500</v>
      </c>
    </row>
    <row r="152" spans="1:6" ht="15.5" x14ac:dyDescent="0.35">
      <c r="A152" s="1">
        <v>151</v>
      </c>
      <c r="B152" s="2" t="s">
        <v>88</v>
      </c>
      <c r="C152" s="25">
        <v>2017</v>
      </c>
      <c r="D152" s="27">
        <v>31192626000000</v>
      </c>
      <c r="E152" s="27">
        <v>30404078000000</v>
      </c>
      <c r="F152" s="3">
        <f t="shared" si="11"/>
        <v>30798352000000</v>
      </c>
    </row>
    <row r="153" spans="1:6" ht="15.5" x14ac:dyDescent="0.35">
      <c r="A153" s="1">
        <v>152</v>
      </c>
      <c r="B153" s="2"/>
      <c r="C153" s="25">
        <v>2018</v>
      </c>
      <c r="D153" s="28">
        <f>E152</f>
        <v>30404078000000</v>
      </c>
      <c r="E153" s="27">
        <v>30748742000000</v>
      </c>
      <c r="F153" s="3">
        <f t="shared" si="11"/>
        <v>30576410000000</v>
      </c>
    </row>
    <row r="154" spans="1:6" ht="15.5" x14ac:dyDescent="0.35">
      <c r="A154" s="1">
        <v>153</v>
      </c>
      <c r="B154" s="2"/>
      <c r="C154" s="25">
        <v>2019</v>
      </c>
      <c r="D154" s="28">
        <f t="shared" ref="D154:D156" si="13">E153</f>
        <v>30748742000000</v>
      </c>
      <c r="E154" s="27">
        <v>36559556000000</v>
      </c>
      <c r="F154" s="3">
        <f t="shared" si="11"/>
        <v>33654149000000</v>
      </c>
    </row>
    <row r="155" spans="1:6" ht="15.5" x14ac:dyDescent="0.35">
      <c r="A155" s="1">
        <v>154</v>
      </c>
      <c r="B155" s="2"/>
      <c r="C155" s="25">
        <v>2020</v>
      </c>
      <c r="D155" s="28">
        <f t="shared" si="13"/>
        <v>36559556000000</v>
      </c>
      <c r="E155" s="27">
        <v>44612045000000</v>
      </c>
      <c r="F155" s="3">
        <f t="shared" si="11"/>
        <v>40585800500000</v>
      </c>
    </row>
    <row r="156" spans="1:6" ht="15.5" x14ac:dyDescent="0.35">
      <c r="A156" s="1">
        <v>155</v>
      </c>
      <c r="B156" s="2"/>
      <c r="C156" s="25">
        <v>2021</v>
      </c>
      <c r="D156" s="28">
        <f t="shared" si="13"/>
        <v>44612045000000</v>
      </c>
      <c r="E156" s="27">
        <v>52267198100000</v>
      </c>
      <c r="F156" s="3">
        <f t="shared" si="11"/>
        <v>48439621550000</v>
      </c>
    </row>
    <row r="157" spans="1:6" ht="15.5" x14ac:dyDescent="0.35">
      <c r="A157" s="1">
        <v>156</v>
      </c>
      <c r="B157" s="2" t="s">
        <v>89</v>
      </c>
      <c r="C157" s="25">
        <v>2017</v>
      </c>
      <c r="D157" s="27">
        <v>26219938000000</v>
      </c>
      <c r="E157" s="27">
        <v>27727008000000</v>
      </c>
      <c r="F157" s="3">
        <f t="shared" si="11"/>
        <v>26973473000000</v>
      </c>
    </row>
    <row r="158" spans="1:6" ht="15.5" x14ac:dyDescent="0.35">
      <c r="A158" s="1">
        <v>157</v>
      </c>
      <c r="B158" s="2"/>
      <c r="C158" s="25">
        <v>2018</v>
      </c>
      <c r="D158" s="28">
        <f>E157</f>
        <v>27727008000000</v>
      </c>
      <c r="E158" s="27">
        <v>26025188000000</v>
      </c>
      <c r="F158" s="3">
        <f t="shared" si="11"/>
        <v>26876098000000</v>
      </c>
    </row>
    <row r="159" spans="1:6" ht="15.5" x14ac:dyDescent="0.35">
      <c r="A159" s="1">
        <v>158</v>
      </c>
      <c r="B159" s="2"/>
      <c r="C159" s="25">
        <v>2019</v>
      </c>
      <c r="D159" s="28">
        <f t="shared" ref="D159:D161" si="14">E158</f>
        <v>26025188000000</v>
      </c>
      <c r="E159" s="27">
        <v>25532041000000</v>
      </c>
      <c r="F159" s="3">
        <f t="shared" si="11"/>
        <v>25778614500000</v>
      </c>
    </row>
    <row r="160" spans="1:6" ht="15.5" x14ac:dyDescent="0.35">
      <c r="A160" s="1">
        <v>159</v>
      </c>
      <c r="B160" s="2"/>
      <c r="C160" s="25">
        <v>2020</v>
      </c>
      <c r="D160" s="28">
        <f t="shared" si="14"/>
        <v>25532041000000</v>
      </c>
      <c r="E160" s="27">
        <v>30526965000000</v>
      </c>
      <c r="F160" s="3">
        <f t="shared" si="11"/>
        <v>28029503000000</v>
      </c>
    </row>
    <row r="161" spans="1:6" ht="15.5" x14ac:dyDescent="0.35">
      <c r="A161" s="1">
        <v>160</v>
      </c>
      <c r="B161" s="2"/>
      <c r="C161" s="25">
        <v>2021</v>
      </c>
      <c r="D161" s="28">
        <f t="shared" si="14"/>
        <v>30526965000000</v>
      </c>
      <c r="E161" s="27">
        <v>26127820000000</v>
      </c>
      <c r="F161" s="3">
        <f t="shared" si="11"/>
        <v>28327392500000</v>
      </c>
    </row>
    <row r="162" spans="1:6" ht="15.5" x14ac:dyDescent="0.35">
      <c r="A162" s="1">
        <v>161</v>
      </c>
      <c r="B162" s="2" t="s">
        <v>90</v>
      </c>
      <c r="C162" s="25">
        <v>2017</v>
      </c>
      <c r="D162" s="27">
        <v>70531682000000</v>
      </c>
      <c r="E162" s="27">
        <v>82297010000000</v>
      </c>
      <c r="F162" s="3">
        <f t="shared" si="11"/>
        <v>76414346000000</v>
      </c>
    </row>
    <row r="163" spans="1:6" ht="15.5" x14ac:dyDescent="0.35">
      <c r="A163" s="1">
        <v>162</v>
      </c>
      <c r="B163" s="2"/>
      <c r="C163" s="25">
        <v>2018</v>
      </c>
      <c r="D163" s="28">
        <f>E162</f>
        <v>82297010000000</v>
      </c>
      <c r="E163" s="27">
        <v>83761946000000</v>
      </c>
      <c r="F163" s="3">
        <f t="shared" si="11"/>
        <v>83029478000000</v>
      </c>
    </row>
    <row r="164" spans="1:6" ht="15.5" x14ac:dyDescent="0.35">
      <c r="A164" s="1">
        <v>163</v>
      </c>
      <c r="B164" s="2"/>
      <c r="C164" s="25">
        <v>2019</v>
      </c>
      <c r="D164" s="28">
        <f t="shared" ref="D164:D166" si="15">E163</f>
        <v>83761946000000</v>
      </c>
      <c r="E164" s="27">
        <v>100803831000000</v>
      </c>
      <c r="F164" s="3">
        <f t="shared" si="11"/>
        <v>92282888500000</v>
      </c>
    </row>
    <row r="165" spans="1:6" ht="15.5" x14ac:dyDescent="0.35">
      <c r="A165" s="1">
        <v>164</v>
      </c>
      <c r="B165" s="2"/>
      <c r="C165" s="25">
        <v>2020</v>
      </c>
      <c r="D165" s="28">
        <f t="shared" si="15"/>
        <v>100803831000000</v>
      </c>
      <c r="E165" s="27">
        <v>112202653000000</v>
      </c>
      <c r="F165" s="3">
        <f t="shared" si="11"/>
        <v>106503242000000</v>
      </c>
    </row>
    <row r="166" spans="1:6" ht="15.5" x14ac:dyDescent="0.35">
      <c r="A166" s="1">
        <v>165</v>
      </c>
      <c r="B166" s="2"/>
      <c r="C166" s="25">
        <v>2021</v>
      </c>
      <c r="D166" s="28">
        <f t="shared" si="15"/>
        <v>112202653000000</v>
      </c>
      <c r="E166" s="27">
        <v>132879390000000</v>
      </c>
      <c r="F166" s="3">
        <f t="shared" si="11"/>
        <v>122541021500000</v>
      </c>
    </row>
    <row r="167" spans="1:6" ht="15.5" x14ac:dyDescent="0.35">
      <c r="A167" s="1">
        <v>166</v>
      </c>
      <c r="B167" s="2" t="s">
        <v>91</v>
      </c>
      <c r="C167" s="25">
        <v>2017</v>
      </c>
      <c r="D167" s="27">
        <v>1570230748000</v>
      </c>
      <c r="E167" s="27">
        <v>3034342412000</v>
      </c>
      <c r="F167" s="3">
        <f t="shared" si="11"/>
        <v>2302286580000</v>
      </c>
    </row>
    <row r="168" spans="1:6" ht="15.5" x14ac:dyDescent="0.35">
      <c r="A168" s="1">
        <v>167</v>
      </c>
      <c r="B168" s="2"/>
      <c r="C168" s="25">
        <v>2018</v>
      </c>
      <c r="D168" s="28">
        <f>E167</f>
        <v>3034342412000</v>
      </c>
      <c r="E168" s="27">
        <v>2468609628000</v>
      </c>
      <c r="F168" s="3">
        <f t="shared" si="11"/>
        <v>2751476020000</v>
      </c>
    </row>
    <row r="169" spans="1:6" ht="15.5" x14ac:dyDescent="0.35">
      <c r="A169" s="1">
        <v>168</v>
      </c>
      <c r="B169" s="2"/>
      <c r="C169" s="25">
        <v>2019</v>
      </c>
      <c r="D169" s="28">
        <f t="shared" ref="D169:D171" si="16">E168</f>
        <v>2468609628000</v>
      </c>
      <c r="E169" s="27">
        <v>3050556600000</v>
      </c>
      <c r="F169" s="3">
        <f t="shared" si="11"/>
        <v>2759583114000</v>
      </c>
    </row>
    <row r="170" spans="1:6" ht="15.5" x14ac:dyDescent="0.35">
      <c r="A170" s="1">
        <v>169</v>
      </c>
      <c r="B170" s="2"/>
      <c r="C170" s="25">
        <v>2020</v>
      </c>
      <c r="D170" s="28">
        <f t="shared" si="16"/>
        <v>3050556600000</v>
      </c>
      <c r="E170" s="27">
        <v>2676388593000</v>
      </c>
      <c r="F170" s="3">
        <f t="shared" si="11"/>
        <v>2863472596500</v>
      </c>
    </row>
    <row r="171" spans="1:6" ht="15.5" x14ac:dyDescent="0.35">
      <c r="A171" s="1">
        <v>170</v>
      </c>
      <c r="B171" s="2"/>
      <c r="C171" s="25">
        <v>2021</v>
      </c>
      <c r="D171" s="28">
        <f t="shared" si="16"/>
        <v>2676388593000</v>
      </c>
      <c r="E171" s="27">
        <v>1819841840000</v>
      </c>
      <c r="F171" s="3">
        <f t="shared" si="11"/>
        <v>2248115216500</v>
      </c>
    </row>
    <row r="172" spans="1:6" ht="15.5" x14ac:dyDescent="0.35">
      <c r="A172" s="1">
        <v>171</v>
      </c>
      <c r="B172" s="2" t="s">
        <v>92</v>
      </c>
      <c r="C172" s="25">
        <v>2017</v>
      </c>
      <c r="D172" s="27">
        <v>138196341000000</v>
      </c>
      <c r="E172" s="27">
        <v>153773957000000</v>
      </c>
      <c r="F172" s="3">
        <f t="shared" si="11"/>
        <v>145985149000000</v>
      </c>
    </row>
    <row r="173" spans="1:6" x14ac:dyDescent="0.35">
      <c r="A173" s="1">
        <v>172</v>
      </c>
      <c r="B173" s="9"/>
      <c r="C173" s="25">
        <v>2018</v>
      </c>
      <c r="D173" s="28">
        <f>E172</f>
        <v>153773957000000</v>
      </c>
      <c r="E173" s="27">
        <v>173582894000000</v>
      </c>
      <c r="F173" s="3">
        <f t="shared" si="11"/>
        <v>163678425500000</v>
      </c>
    </row>
    <row r="174" spans="1:6" x14ac:dyDescent="0.35">
      <c r="A174" s="1">
        <v>173</v>
      </c>
      <c r="B174" s="9"/>
      <c r="C174" s="25">
        <v>2019</v>
      </c>
      <c r="D174" s="28">
        <f t="shared" ref="D174:D176" si="17">E173</f>
        <v>173582894000000</v>
      </c>
      <c r="E174" s="27">
        <v>180706987000000</v>
      </c>
      <c r="F174" s="3">
        <f t="shared" si="11"/>
        <v>177144940500000</v>
      </c>
    </row>
    <row r="175" spans="1:6" x14ac:dyDescent="0.35">
      <c r="A175" s="1">
        <v>174</v>
      </c>
      <c r="B175" s="9"/>
      <c r="C175" s="25">
        <v>2020</v>
      </c>
      <c r="D175" s="28">
        <f t="shared" si="17"/>
        <v>180706987000000</v>
      </c>
      <c r="E175" s="27">
        <v>206297200000000</v>
      </c>
      <c r="F175" s="3">
        <f t="shared" si="11"/>
        <v>193502093500000</v>
      </c>
    </row>
    <row r="176" spans="1:6" x14ac:dyDescent="0.35">
      <c r="A176" s="1">
        <v>175</v>
      </c>
      <c r="B176" s="9"/>
      <c r="C176" s="25">
        <v>2021</v>
      </c>
      <c r="D176" s="28">
        <f t="shared" si="17"/>
        <v>206297200000000</v>
      </c>
      <c r="E176" s="27">
        <v>214395608000000</v>
      </c>
      <c r="F176" s="3">
        <f t="shared" si="11"/>
        <v>210346404000000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60E57-2B2B-40FA-823A-01BE5ED6FA23}">
  <dimension ref="A1:G176"/>
  <sheetViews>
    <sheetView workbookViewId="0">
      <selection activeCell="D12" sqref="D12"/>
    </sheetView>
  </sheetViews>
  <sheetFormatPr defaultRowHeight="14.5" x14ac:dyDescent="0.35"/>
  <cols>
    <col min="2" max="2" width="11.26953125" bestFit="1" customWidth="1"/>
    <col min="3" max="3" width="6.08984375" bestFit="1" customWidth="1"/>
    <col min="4" max="4" width="21.6328125" style="5" bestFit="1" customWidth="1"/>
    <col min="5" max="5" width="21.7265625" bestFit="1" customWidth="1"/>
    <col min="6" max="6" width="25.26953125" style="5" bestFit="1" customWidth="1"/>
    <col min="7" max="7" width="12.4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6" t="s">
        <v>23</v>
      </c>
      <c r="E1" s="1" t="s">
        <v>24</v>
      </c>
      <c r="F1" s="6" t="s">
        <v>25</v>
      </c>
      <c r="G1" s="1" t="s">
        <v>26</v>
      </c>
    </row>
    <row r="2" spans="1:7" x14ac:dyDescent="0.35">
      <c r="A2" s="1">
        <v>1</v>
      </c>
      <c r="B2" s="1" t="s">
        <v>3</v>
      </c>
      <c r="C2" s="1">
        <v>2017</v>
      </c>
      <c r="D2" s="6">
        <f>76508107097+14346522792+751105407+13696137698</f>
        <v>105301872994</v>
      </c>
      <c r="E2" s="1">
        <v>0</v>
      </c>
      <c r="F2" s="6">
        <v>0</v>
      </c>
      <c r="G2" s="1" t="e">
        <f>E2/F2</f>
        <v>#DIV/0!</v>
      </c>
    </row>
    <row r="3" spans="1:7" ht="15.5" x14ac:dyDescent="0.35">
      <c r="A3" s="1">
        <v>2</v>
      </c>
      <c r="B3" s="2" t="s">
        <v>3</v>
      </c>
      <c r="C3" s="1">
        <v>2018</v>
      </c>
      <c r="D3" s="10">
        <f>83935111290+13126436678+903019323+11339863183</f>
        <v>109304430474</v>
      </c>
      <c r="E3" s="11">
        <f>D3-D2</f>
        <v>4002557480</v>
      </c>
      <c r="F3" s="7">
        <v>462273748120.5</v>
      </c>
      <c r="G3" s="1">
        <f t="shared" ref="G3:G66" si="0">E3/F3</f>
        <v>8.6584139728320911E-3</v>
      </c>
    </row>
    <row r="4" spans="1:7" ht="15.5" x14ac:dyDescent="0.35">
      <c r="A4" s="1">
        <v>3</v>
      </c>
      <c r="B4" s="2" t="s">
        <v>3</v>
      </c>
      <c r="C4" s="1">
        <v>2019</v>
      </c>
      <c r="D4" s="10">
        <f>6105094632+62107180919+24373745095+861805626+5970752073+1924322503</f>
        <v>101342900848</v>
      </c>
      <c r="E4" s="11">
        <f>D4-D3</f>
        <v>-7961529626</v>
      </c>
      <c r="F4" s="7">
        <v>463054828908.5</v>
      </c>
      <c r="G4" s="1">
        <f t="shared" si="0"/>
        <v>-1.7193492279881189E-2</v>
      </c>
    </row>
    <row r="5" spans="1:7" ht="15.5" x14ac:dyDescent="0.35">
      <c r="A5" s="1">
        <v>4</v>
      </c>
      <c r="B5" s="2" t="s">
        <v>3</v>
      </c>
      <c r="C5" s="1">
        <v>2020</v>
      </c>
      <c r="D5" s="10">
        <f>10909190618+42582398713+43449304553+5670752073+3984951463</f>
        <v>106596597420</v>
      </c>
      <c r="E5" s="11">
        <f t="shared" ref="E5:E6" si="1">D5-D4</f>
        <v>5253696572</v>
      </c>
      <c r="F5" s="7">
        <v>406717116516</v>
      </c>
      <c r="G5" s="1">
        <f t="shared" si="0"/>
        <v>1.2917323512233651E-2</v>
      </c>
    </row>
    <row r="6" spans="1:7" ht="15.5" x14ac:dyDescent="0.35">
      <c r="A6" s="1">
        <v>5</v>
      </c>
      <c r="B6" s="2" t="s">
        <v>3</v>
      </c>
      <c r="C6" s="1">
        <v>2021</v>
      </c>
      <c r="D6" s="10">
        <f>16585607499+52452053623+51368504280+732763300+4928158953+6746881380</f>
        <v>132813969035</v>
      </c>
      <c r="E6" s="11">
        <f t="shared" si="1"/>
        <v>26217371615</v>
      </c>
      <c r="F6" s="7">
        <v>446808076450.5</v>
      </c>
      <c r="G6" s="1">
        <f t="shared" si="0"/>
        <v>5.8677031586523959E-2</v>
      </c>
    </row>
    <row r="7" spans="1:7" ht="15.5" x14ac:dyDescent="0.35">
      <c r="A7" s="1">
        <v>6</v>
      </c>
      <c r="B7" s="2" t="s">
        <v>4</v>
      </c>
      <c r="C7" s="1">
        <v>2017</v>
      </c>
      <c r="D7" s="10">
        <f>21755720+113476086563+13986354548+12174889005</f>
        <v>139659085836</v>
      </c>
      <c r="E7" s="9"/>
      <c r="F7" s="7"/>
      <c r="G7" s="1" t="e">
        <f t="shared" si="0"/>
        <v>#DIV/0!</v>
      </c>
    </row>
    <row r="8" spans="1:7" x14ac:dyDescent="0.35">
      <c r="A8" s="1">
        <v>7</v>
      </c>
      <c r="B8" s="1" t="s">
        <v>4</v>
      </c>
      <c r="C8" s="1">
        <v>2018</v>
      </c>
      <c r="D8" s="10">
        <f>5695950+141393596454+26280788985+12864574994</f>
        <v>180544656383</v>
      </c>
      <c r="E8" s="11">
        <f>D8-D7</f>
        <v>40885570547</v>
      </c>
      <c r="F8" s="7">
        <v>914178422228</v>
      </c>
      <c r="G8" s="1">
        <f t="shared" si="0"/>
        <v>4.4723841159316886E-2</v>
      </c>
    </row>
    <row r="9" spans="1:7" x14ac:dyDescent="0.35">
      <c r="A9" s="1">
        <v>8</v>
      </c>
      <c r="B9" s="1" t="s">
        <v>4</v>
      </c>
      <c r="C9" s="1">
        <v>2019</v>
      </c>
      <c r="D9" s="10">
        <f>11736375+107397784947+60102707851+8281893868</f>
        <v>175794123041</v>
      </c>
      <c r="E9" s="11">
        <f t="shared" ref="E9:E11" si="2">D9-D8</f>
        <v>-4750533342</v>
      </c>
      <c r="F9" s="7">
        <v>972777011834.5</v>
      </c>
      <c r="G9" s="1">
        <f t="shared" si="0"/>
        <v>-4.8834761555901314E-3</v>
      </c>
    </row>
    <row r="10" spans="1:7" x14ac:dyDescent="0.35">
      <c r="A10" s="1">
        <v>9</v>
      </c>
      <c r="B10" s="1" t="s">
        <v>4</v>
      </c>
      <c r="C10" s="1">
        <v>2020</v>
      </c>
      <c r="D10" s="10">
        <f>10035000+106128409949+148962330950+7680263492</f>
        <v>262781039391</v>
      </c>
      <c r="E10" s="11">
        <f t="shared" si="2"/>
        <v>86986916350</v>
      </c>
      <c r="F10" s="7">
        <v>983339603378.5</v>
      </c>
      <c r="G10" s="1">
        <f t="shared" si="0"/>
        <v>8.8460706810887607E-2</v>
      </c>
    </row>
    <row r="11" spans="1:7" x14ac:dyDescent="0.35">
      <c r="A11" s="1">
        <v>10</v>
      </c>
      <c r="B11" s="1" t="s">
        <v>4</v>
      </c>
      <c r="C11" s="1">
        <v>2021</v>
      </c>
      <c r="D11" s="10">
        <f>65234343420+132635142107+5243671084</f>
        <v>203113156611</v>
      </c>
      <c r="E11" s="11">
        <f t="shared" si="2"/>
        <v>-59667882780</v>
      </c>
      <c r="F11" s="7">
        <v>986040658507</v>
      </c>
      <c r="G11" s="1">
        <f t="shared" si="0"/>
        <v>-6.0512598811437765E-2</v>
      </c>
    </row>
    <row r="12" spans="1:7" x14ac:dyDescent="0.35">
      <c r="A12" s="1">
        <v>11</v>
      </c>
      <c r="B12" s="1" t="s">
        <v>5</v>
      </c>
      <c r="C12" s="1">
        <v>2017</v>
      </c>
      <c r="D12" s="10">
        <f>3254353000000+2813466000000+2766507000000+71388000000+18106412000000+216884000000+426789981000000</f>
        <v>454018991000000</v>
      </c>
      <c r="E12" s="9"/>
      <c r="F12" s="7"/>
      <c r="G12" s="1" t="e">
        <f t="shared" si="0"/>
        <v>#DIV/0!</v>
      </c>
    </row>
    <row r="13" spans="1:7" x14ac:dyDescent="0.35">
      <c r="A13" s="1">
        <v>12</v>
      </c>
      <c r="B13" s="1" t="s">
        <v>5</v>
      </c>
      <c r="C13" s="1">
        <v>2018</v>
      </c>
      <c r="D13" s="10">
        <f>4253128000000+3429531000000+17000000+20295277000000+605248000000+497886888000000</f>
        <v>526470089000000</v>
      </c>
      <c r="E13" s="11">
        <f>D13-D12</f>
        <v>72451098000000</v>
      </c>
      <c r="F13" s="7">
        <v>758951047500000</v>
      </c>
      <c r="G13" s="1">
        <f t="shared" si="0"/>
        <v>9.5462149026153104E-2</v>
      </c>
    </row>
    <row r="14" spans="1:7" x14ac:dyDescent="0.35">
      <c r="A14" s="1">
        <v>13</v>
      </c>
      <c r="B14" s="1" t="s">
        <v>5</v>
      </c>
      <c r="C14" s="1">
        <v>2019</v>
      </c>
      <c r="D14" s="10">
        <f>3220178000000+3785287000000+2571286000000+18558276000000+312266000000+539862076000000</f>
        <v>568309369000000</v>
      </c>
      <c r="E14" s="11">
        <f t="shared" ref="E14:E16" si="3">D14-D13</f>
        <v>41839280000000</v>
      </c>
      <c r="F14" s="7">
        <v>827088609500000</v>
      </c>
      <c r="G14" s="1">
        <f t="shared" si="0"/>
        <v>5.058621231078627E-2</v>
      </c>
    </row>
    <row r="15" spans="1:7" x14ac:dyDescent="0.35">
      <c r="A15" s="1">
        <v>14</v>
      </c>
      <c r="B15" s="1" t="s">
        <v>5</v>
      </c>
      <c r="C15" s="1">
        <v>2020</v>
      </c>
      <c r="D15" s="10">
        <f>3908683000000+3874790000000+2382329000000+20575666000000+140614000000+541978801000000</f>
        <v>572860883000000</v>
      </c>
      <c r="E15" s="11">
        <f t="shared" si="3"/>
        <v>4551514000000</v>
      </c>
      <c r="F15" s="7">
        <v>868471316500000</v>
      </c>
      <c r="G15" s="1">
        <f t="shared" si="0"/>
        <v>5.2408339959262203E-3</v>
      </c>
    </row>
    <row r="16" spans="1:7" x14ac:dyDescent="0.35">
      <c r="A16" s="1">
        <v>15</v>
      </c>
      <c r="B16" s="1" t="s">
        <v>5</v>
      </c>
      <c r="C16" s="1">
        <v>2021</v>
      </c>
      <c r="D16" s="10">
        <f>3333395000000+3057796000000+2051031000000+20542767000000+494183000000+532141344000000</f>
        <v>561620516000000</v>
      </c>
      <c r="E16" s="11">
        <f t="shared" si="3"/>
        <v>-11240367000000</v>
      </c>
      <c r="F16" s="7">
        <v>928087558500000</v>
      </c>
      <c r="G16" s="1">
        <f t="shared" si="0"/>
        <v>-1.2111321714264742E-2</v>
      </c>
    </row>
    <row r="17" spans="1:7" x14ac:dyDescent="0.35">
      <c r="A17" s="1">
        <v>16</v>
      </c>
      <c r="B17" s="1" t="s">
        <v>6</v>
      </c>
      <c r="C17" s="1">
        <v>2017</v>
      </c>
      <c r="D17" s="10">
        <f>196634594000000+8081000000</f>
        <v>196642675000000</v>
      </c>
      <c r="E17" s="9"/>
      <c r="F17" s="7"/>
      <c r="G17" s="1" t="e">
        <f t="shared" si="0"/>
        <v>#DIV/0!</v>
      </c>
    </row>
    <row r="18" spans="1:7" x14ac:dyDescent="0.35">
      <c r="A18" s="1">
        <v>17</v>
      </c>
      <c r="B18" s="1" t="s">
        <v>6</v>
      </c>
      <c r="C18" s="1">
        <v>2018</v>
      </c>
      <c r="D18" s="10">
        <f>234459542000000+528148000000</f>
        <v>234987690000000</v>
      </c>
      <c r="E18" s="11">
        <f>D18-D17</f>
        <v>38345015000000</v>
      </c>
      <c r="F18" s="7">
        <v>283900730500000</v>
      </c>
      <c r="G18" s="1">
        <f t="shared" si="0"/>
        <v>0.13506486909162779</v>
      </c>
    </row>
    <row r="19" spans="1:7" x14ac:dyDescent="0.35">
      <c r="A19" s="1">
        <v>18</v>
      </c>
      <c r="B19" s="1" t="s">
        <v>6</v>
      </c>
      <c r="C19" s="1">
        <v>2019</v>
      </c>
      <c r="D19" s="10">
        <f>249708993000000+487052000000</f>
        <v>250196045000000</v>
      </c>
      <c r="E19" s="11">
        <f t="shared" ref="E19:E21" si="4">D19-D18</f>
        <v>15208355000000</v>
      </c>
      <c r="F19" s="7">
        <v>309106511000000</v>
      </c>
      <c r="G19" s="1">
        <f t="shared" si="0"/>
        <v>4.9201017962381258E-2</v>
      </c>
    </row>
    <row r="20" spans="1:7" x14ac:dyDescent="0.35">
      <c r="A20" s="1">
        <v>19</v>
      </c>
      <c r="B20" s="1" t="s">
        <v>6</v>
      </c>
      <c r="C20" s="1">
        <v>2020</v>
      </c>
      <c r="D20" s="10">
        <f>247053220000000+194678000000+70366000000</f>
        <v>247318264000000</v>
      </c>
      <c r="E20" s="11">
        <f t="shared" si="4"/>
        <v>-2877781000000</v>
      </c>
      <c r="F20" s="7">
        <v>336492617000000</v>
      </c>
      <c r="G20" s="1">
        <f t="shared" si="0"/>
        <v>-8.5522857103280808E-3</v>
      </c>
    </row>
    <row r="21" spans="1:7" x14ac:dyDescent="0.35">
      <c r="A21" s="1">
        <v>20</v>
      </c>
      <c r="B21" s="1" t="s">
        <v>6</v>
      </c>
      <c r="C21" s="1">
        <v>2021</v>
      </c>
      <c r="D21" s="10">
        <f>260399531000000+31017000000+453517000000</f>
        <v>260884065000000</v>
      </c>
      <c r="E21" s="11">
        <f t="shared" si="4"/>
        <v>13565801000000</v>
      </c>
      <c r="F21" s="7">
        <v>366538358500000</v>
      </c>
      <c r="G21" s="1">
        <f t="shared" si="0"/>
        <v>3.7010590257226791E-2</v>
      </c>
    </row>
    <row r="22" spans="1:7" x14ac:dyDescent="0.35">
      <c r="A22" s="1">
        <v>21</v>
      </c>
      <c r="B22" s="1" t="s">
        <v>7</v>
      </c>
      <c r="C22" s="1">
        <v>2017</v>
      </c>
      <c r="D22" s="10">
        <f>237072000000+811042000000+184885000000+2640852000000-22184000000+555000000+305296000000-2714000000+169120000000-247000000</f>
        <v>4323677000000</v>
      </c>
      <c r="E22" s="9"/>
      <c r="F22" s="7"/>
      <c r="G22" s="1" t="e">
        <f t="shared" si="0"/>
        <v>#DIV/0!</v>
      </c>
    </row>
    <row r="23" spans="1:7" x14ac:dyDescent="0.35">
      <c r="A23" s="1">
        <v>22</v>
      </c>
      <c r="B23" s="1" t="s">
        <v>7</v>
      </c>
      <c r="C23" s="1">
        <v>2018</v>
      </c>
      <c r="D23" s="10">
        <f>119242000000+383410000000+369483000000+1917798000000-21885000000+519000000+135696000000-120000000+85125000000-2136000000</f>
        <v>2987132000000</v>
      </c>
      <c r="E23" s="11">
        <f>D23-D22</f>
        <v>-1336545000000</v>
      </c>
      <c r="F23" s="7">
        <v>19322993500000</v>
      </c>
      <c r="G23" s="1">
        <f t="shared" si="0"/>
        <v>-6.9168630626512392E-2</v>
      </c>
    </row>
    <row r="24" spans="1:7" x14ac:dyDescent="0.35">
      <c r="A24" s="1">
        <v>23</v>
      </c>
      <c r="B24" s="1" t="s">
        <v>7</v>
      </c>
      <c r="C24" s="1">
        <v>2019</v>
      </c>
      <c r="D24" s="10">
        <f>169859000000+411428000000+191148000000+1763073000000-22167000000+8965000000+28439000000-1092000000+50897000000-2792000000</f>
        <v>2597758000000</v>
      </c>
      <c r="E24" s="11">
        <f t="shared" ref="E24:E26" si="5">D24-D23</f>
        <v>-389374000000</v>
      </c>
      <c r="F24" s="7">
        <v>18573864500000</v>
      </c>
      <c r="G24" s="1">
        <f t="shared" si="0"/>
        <v>-2.0963542616562105E-2</v>
      </c>
    </row>
    <row r="25" spans="1:7" x14ac:dyDescent="0.35">
      <c r="A25" s="1">
        <v>24</v>
      </c>
      <c r="B25" s="1" t="s">
        <v>7</v>
      </c>
      <c r="C25" s="1">
        <v>2020</v>
      </c>
      <c r="D25" s="10">
        <f>340136000000+680541000000+180993000000+1390494000000-15447000000+4768000000+89000000-12000000+13316000000-324000000</f>
        <v>2594554000000</v>
      </c>
      <c r="E25" s="11">
        <f t="shared" si="5"/>
        <v>-3204000000</v>
      </c>
      <c r="F25" s="7">
        <v>18743275500000</v>
      </c>
      <c r="G25" s="1">
        <f t="shared" si="0"/>
        <v>-1.7094130639012375E-4</v>
      </c>
    </row>
    <row r="26" spans="1:7" x14ac:dyDescent="0.35">
      <c r="A26" s="1">
        <v>25</v>
      </c>
      <c r="B26" s="1" t="s">
        <v>7</v>
      </c>
      <c r="C26" s="1">
        <v>2021</v>
      </c>
      <c r="D26" s="10">
        <f>291740000000+474897000000+208289000000+1317356000000-13338000000+1654000000+3674000000+21610000000-7000000</f>
        <v>2305875000000</v>
      </c>
      <c r="E26" s="11">
        <f t="shared" si="5"/>
        <v>-288679000000</v>
      </c>
      <c r="F26" s="7">
        <v>20377757000000</v>
      </c>
      <c r="G26" s="1">
        <f t="shared" si="0"/>
        <v>-1.4166377585128726E-2</v>
      </c>
    </row>
    <row r="27" spans="1:7" x14ac:dyDescent="0.35">
      <c r="A27" s="1">
        <v>26</v>
      </c>
      <c r="B27" s="1" t="s">
        <v>8</v>
      </c>
      <c r="C27" s="1">
        <v>2017</v>
      </c>
      <c r="D27" s="10">
        <f>413000000+103493000000+26080060000000+369488000000+1465000000+251502000000+2468000000+1483472000000+71783000000+93973723000000</f>
        <v>122337867000000</v>
      </c>
      <c r="E27" s="9"/>
      <c r="F27" s="7"/>
      <c r="G27" s="1" t="e">
        <f t="shared" si="0"/>
        <v>#DIV/0!</v>
      </c>
    </row>
    <row r="28" spans="1:7" x14ac:dyDescent="0.35">
      <c r="A28" s="1">
        <v>27</v>
      </c>
      <c r="B28" s="1" t="s">
        <v>8</v>
      </c>
      <c r="C28" s="1">
        <v>2018</v>
      </c>
      <c r="D28" s="10">
        <f>54553000000+394538000000+28262631000000+240623000000+1679176000000+71783000000+93973723000000</f>
        <v>124677027000000</v>
      </c>
      <c r="E28" s="11">
        <f>D28-D27</f>
        <v>2339160000000</v>
      </c>
      <c r="F28" s="7">
        <v>182509640500000</v>
      </c>
      <c r="G28" s="1">
        <f t="shared" si="0"/>
        <v>1.2816638033978265E-2</v>
      </c>
    </row>
    <row r="29" spans="1:7" x14ac:dyDescent="0.35">
      <c r="A29" s="1">
        <v>28</v>
      </c>
      <c r="B29" s="1" t="s">
        <v>8</v>
      </c>
      <c r="C29" s="1">
        <v>2019</v>
      </c>
      <c r="D29" s="10">
        <f>159123000000+29624404000000+290517000000+862696000000+69720000000+106795782000000</f>
        <v>137802242000000</v>
      </c>
      <c r="E29" s="11">
        <f t="shared" ref="E29:E31" si="6">D29-D28</f>
        <v>13125215000000</v>
      </c>
      <c r="F29" s="7">
        <v>190148079500000</v>
      </c>
      <c r="G29" s="1">
        <f t="shared" si="0"/>
        <v>6.9026282224428151E-2</v>
      </c>
    </row>
    <row r="30" spans="1:7" x14ac:dyDescent="0.35">
      <c r="A30" s="1">
        <v>29</v>
      </c>
      <c r="B30" s="1" t="s">
        <v>8</v>
      </c>
      <c r="C30" s="1">
        <v>2020</v>
      </c>
      <c r="D30" s="10">
        <f>362482000000+22605362000000+246644000000+1592400000000+41365000000+103895653000000</f>
        <v>128743906000000</v>
      </c>
      <c r="E30" s="11">
        <f t="shared" si="6"/>
        <v>-9058336000000</v>
      </c>
      <c r="F30" s="7">
        <v>197212019000000</v>
      </c>
      <c r="G30" s="1">
        <f t="shared" si="0"/>
        <v>-4.5931967260068464E-2</v>
      </c>
    </row>
    <row r="31" spans="1:7" x14ac:dyDescent="0.35">
      <c r="A31" s="1">
        <v>30</v>
      </c>
      <c r="B31" s="1" t="s">
        <v>8</v>
      </c>
      <c r="C31" s="1">
        <v>2021</v>
      </c>
      <c r="D31" s="10">
        <f>187297000000+19958199000000+280613000000+2058574000000+30506000000+99935455000000</f>
        <v>122450644000000</v>
      </c>
      <c r="E31" s="11">
        <f t="shared" si="6"/>
        <v>-6293262000000</v>
      </c>
      <c r="F31" s="7">
        <v>196564883000000</v>
      </c>
      <c r="G31" s="1">
        <f t="shared" si="0"/>
        <v>-3.2016207086186396E-2</v>
      </c>
    </row>
    <row r="32" spans="1:7" x14ac:dyDescent="0.35">
      <c r="A32" s="1">
        <v>31</v>
      </c>
      <c r="B32" s="1" t="s">
        <v>9</v>
      </c>
      <c r="C32" s="1">
        <v>2017</v>
      </c>
      <c r="D32" s="10">
        <f>9435315000000+5739410000000+414127000000</f>
        <v>15588852000000</v>
      </c>
      <c r="E32" s="9"/>
      <c r="F32" s="7"/>
      <c r="G32" s="1" t="e">
        <f t="shared" si="0"/>
        <v>#DIV/0!</v>
      </c>
    </row>
    <row r="33" spans="1:7" x14ac:dyDescent="0.35">
      <c r="A33" s="1">
        <v>32</v>
      </c>
      <c r="B33" s="1" t="s">
        <v>9</v>
      </c>
      <c r="C33" s="1">
        <v>2018</v>
      </c>
      <c r="D33" s="10">
        <f>11357670000000+5922788000000+105000000+198271000000</f>
        <v>17478834000000</v>
      </c>
      <c r="E33" s="11">
        <f>D33-D32</f>
        <v>1889982000000</v>
      </c>
      <c r="F33" s="7">
        <v>17800289000000</v>
      </c>
      <c r="G33" s="1">
        <f t="shared" si="0"/>
        <v>0.1061770401592918</v>
      </c>
    </row>
    <row r="34" spans="1:7" x14ac:dyDescent="0.35">
      <c r="A34" s="1">
        <v>33</v>
      </c>
      <c r="B34" s="1" t="s">
        <v>9</v>
      </c>
      <c r="C34" s="1">
        <v>2019</v>
      </c>
      <c r="D34" s="10">
        <f>17395920000000+2105000000+153494000000</f>
        <v>17551519000000</v>
      </c>
      <c r="E34" s="11">
        <f t="shared" ref="E34:E36" si="7">D34-D33</f>
        <v>72685000000</v>
      </c>
      <c r="F34" s="7">
        <v>19103469000000</v>
      </c>
      <c r="G34" s="1">
        <f t="shared" si="0"/>
        <v>3.8048063417173081E-3</v>
      </c>
    </row>
    <row r="35" spans="1:7" x14ac:dyDescent="0.35">
      <c r="A35" s="1">
        <v>34</v>
      </c>
      <c r="B35" s="1" t="s">
        <v>9</v>
      </c>
      <c r="C35" s="1">
        <v>2020</v>
      </c>
      <c r="D35" s="10">
        <f>12678444000000+586000000+154904000000</f>
        <v>12833934000000</v>
      </c>
      <c r="E35" s="11">
        <f t="shared" si="7"/>
        <v>-4717585000000</v>
      </c>
      <c r="F35" s="7">
        <v>17145082000000</v>
      </c>
      <c r="G35" s="1">
        <f t="shared" si="0"/>
        <v>-0.2751567475734441</v>
      </c>
    </row>
    <row r="36" spans="1:7" x14ac:dyDescent="0.35">
      <c r="A36" s="1">
        <v>35</v>
      </c>
      <c r="B36" s="1" t="s">
        <v>9</v>
      </c>
      <c r="C36" s="1">
        <v>2021</v>
      </c>
      <c r="D36" s="10">
        <f>13676190000000+941000000+87089000000</f>
        <v>13764220000000</v>
      </c>
      <c r="E36" s="11">
        <f t="shared" si="7"/>
        <v>930286000000</v>
      </c>
      <c r="F36" s="7">
        <v>15418135000000</v>
      </c>
      <c r="G36" s="1">
        <f t="shared" si="0"/>
        <v>6.0337128971824416E-2</v>
      </c>
    </row>
    <row r="37" spans="1:7" x14ac:dyDescent="0.35">
      <c r="A37" s="1">
        <v>36</v>
      </c>
      <c r="B37" s="1" t="s">
        <v>10</v>
      </c>
      <c r="C37" s="1">
        <v>2017</v>
      </c>
      <c r="D37" s="7">
        <f>280293000000+181405722000000+3710084000000+10936000000+4184965000000</f>
        <v>189592000000000</v>
      </c>
      <c r="E37" s="9"/>
      <c r="F37" s="7"/>
      <c r="G37" s="1" t="e">
        <f t="shared" si="0"/>
        <v>#DIV/0!</v>
      </c>
    </row>
    <row r="38" spans="1:7" x14ac:dyDescent="0.35">
      <c r="A38" s="1">
        <v>37</v>
      </c>
      <c r="B38" s="1" t="s">
        <v>10</v>
      </c>
      <c r="C38" s="1">
        <v>2018</v>
      </c>
      <c r="D38" s="7">
        <f>1084759000000+180311277000000+2052802000000+1180000000+4462483000000</f>
        <v>187912501000000</v>
      </c>
      <c r="E38" s="11">
        <f>D38-D37</f>
        <v>-1679499000000</v>
      </c>
      <c r="F38" s="7">
        <v>266543476500000</v>
      </c>
      <c r="G38" s="1">
        <f t="shared" si="0"/>
        <v>-6.30103209447709E-3</v>
      </c>
    </row>
    <row r="39" spans="1:7" x14ac:dyDescent="0.35">
      <c r="A39" s="1">
        <v>38</v>
      </c>
      <c r="B39" s="1" t="s">
        <v>10</v>
      </c>
      <c r="C39" s="1">
        <v>2019</v>
      </c>
      <c r="D39" s="7">
        <f>725478000000+184998140000000+3179370000000+3767071000000</f>
        <v>192670059000000</v>
      </c>
      <c r="E39" s="11">
        <f t="shared" ref="E39:E41" si="8">D39-D38</f>
        <v>4757558000000</v>
      </c>
      <c r="F39" s="7">
        <v>270624362500000</v>
      </c>
      <c r="G39" s="1">
        <f t="shared" si="0"/>
        <v>1.7579932405383494E-2</v>
      </c>
    </row>
    <row r="40" spans="1:7" x14ac:dyDescent="0.35">
      <c r="A40" s="1">
        <v>39</v>
      </c>
      <c r="B40" s="1" t="s">
        <v>10</v>
      </c>
      <c r="C40" s="1">
        <v>2020</v>
      </c>
      <c r="D40" s="7">
        <f>1359286000000+159851784000000+2977849000000+2022665000000</f>
        <v>166211584000000</v>
      </c>
      <c r="E40" s="11">
        <f t="shared" si="8"/>
        <v>-26458475000000</v>
      </c>
      <c r="F40" s="7">
        <v>277705416000000</v>
      </c>
      <c r="G40" s="1">
        <f t="shared" si="0"/>
        <v>-9.5275329451983026E-2</v>
      </c>
    </row>
    <row r="41" spans="1:7" x14ac:dyDescent="0.35">
      <c r="A41" s="1">
        <v>40</v>
      </c>
      <c r="B41" s="1" t="s">
        <v>10</v>
      </c>
      <c r="C41" s="1">
        <v>2021</v>
      </c>
      <c r="D41" s="7">
        <f>909081000000+164089257000000+4388529000000+2564041000000</f>
        <v>171950908000000</v>
      </c>
      <c r="E41" s="11">
        <f t="shared" si="8"/>
        <v>5739324000000</v>
      </c>
      <c r="F41" s="7">
        <v>295865282500000</v>
      </c>
      <c r="G41" s="1">
        <f t="shared" si="0"/>
        <v>1.9398436854449121E-2</v>
      </c>
    </row>
    <row r="42" spans="1:7" x14ac:dyDescent="0.35">
      <c r="A42" s="1">
        <v>41</v>
      </c>
      <c r="B42" s="1" t="s">
        <v>11</v>
      </c>
      <c r="C42" s="1">
        <v>2017</v>
      </c>
      <c r="D42" s="7">
        <f>200049000000+111809451000000+11488651000000+2747132000000</f>
        <v>126245283000000</v>
      </c>
      <c r="E42" s="9"/>
      <c r="F42" s="7"/>
      <c r="G42" s="1" t="e">
        <f t="shared" si="0"/>
        <v>#DIV/0!</v>
      </c>
    </row>
    <row r="43" spans="1:7" x14ac:dyDescent="0.35">
      <c r="A43" s="1">
        <v>42</v>
      </c>
      <c r="B43" s="1" t="s">
        <v>11</v>
      </c>
      <c r="C43" s="1">
        <v>2018</v>
      </c>
      <c r="D43" s="7">
        <f>1289978000000+119909785000000+11161919000000+2813730000000</f>
        <v>135175412000000</v>
      </c>
      <c r="E43" s="11">
        <f>D43-D42</f>
        <v>8930129000000</v>
      </c>
      <c r="F43" s="7">
        <v>175393174500000</v>
      </c>
      <c r="G43" s="1">
        <f t="shared" si="0"/>
        <v>5.0914917444521195E-2</v>
      </c>
    </row>
    <row r="44" spans="1:7" x14ac:dyDescent="0.35">
      <c r="A44" s="1">
        <v>43</v>
      </c>
      <c r="B44" s="1" t="s">
        <v>11</v>
      </c>
      <c r="C44" s="1">
        <v>2019</v>
      </c>
      <c r="D44" s="7">
        <f>748480000000+10839431000000+109179337000000+1740388000000</f>
        <v>122507636000000</v>
      </c>
      <c r="E44" s="11">
        <f t="shared" ref="E44:E46" si="9">D44-D43</f>
        <v>-12667776000000</v>
      </c>
      <c r="F44" s="7">
        <v>173307844000000</v>
      </c>
      <c r="G44" s="1">
        <f t="shared" si="0"/>
        <v>-7.3094071841318387E-2</v>
      </c>
    </row>
    <row r="45" spans="1:7" x14ac:dyDescent="0.35">
      <c r="A45" s="1">
        <v>44</v>
      </c>
      <c r="B45" s="1" t="s">
        <v>11</v>
      </c>
      <c r="C45" s="1">
        <v>2020</v>
      </c>
      <c r="D45" s="7">
        <f>1247872000000+93979899000000+8061654000000+1113285000000</f>
        <v>104402710000000</v>
      </c>
      <c r="E45" s="11">
        <f t="shared" si="9"/>
        <v>-18104926000000</v>
      </c>
      <c r="F45" s="7">
        <v>171153621000000</v>
      </c>
      <c r="G45" s="1">
        <f t="shared" si="0"/>
        <v>-0.10578172926881868</v>
      </c>
    </row>
    <row r="46" spans="1:7" x14ac:dyDescent="0.35">
      <c r="A46" s="1">
        <v>45</v>
      </c>
      <c r="B46" s="1" t="s">
        <v>11</v>
      </c>
      <c r="C46" s="1">
        <v>2021</v>
      </c>
      <c r="D46" s="7">
        <f>560650000000+90675892000000+7826992000000+1664127000000</f>
        <v>100727661000000</v>
      </c>
      <c r="E46" s="11">
        <f t="shared" si="9"/>
        <v>-3675049000000</v>
      </c>
      <c r="F46" s="7">
        <v>170991444000000</v>
      </c>
      <c r="G46" s="1">
        <f t="shared" si="0"/>
        <v>-2.1492590003509181E-2</v>
      </c>
    </row>
    <row r="47" spans="1:7" x14ac:dyDescent="0.35">
      <c r="A47" s="1">
        <v>46</v>
      </c>
      <c r="B47" s="1" t="s">
        <v>12</v>
      </c>
      <c r="C47" s="1">
        <v>2017</v>
      </c>
      <c r="D47" s="7">
        <f>3569686000000+60174000000+89703197000000+317788000000</f>
        <v>93650845000000</v>
      </c>
      <c r="E47" s="9"/>
      <c r="F47" s="7"/>
      <c r="G47" s="1" t="e">
        <f t="shared" si="0"/>
        <v>#DIV/0!</v>
      </c>
    </row>
    <row r="48" spans="1:7" x14ac:dyDescent="0.35">
      <c r="A48" s="1">
        <v>47</v>
      </c>
      <c r="B48" s="1" t="s">
        <v>12</v>
      </c>
      <c r="C48" s="1">
        <v>2018</v>
      </c>
      <c r="D48" s="7">
        <f>2730307000000+23084000000+98912371000000+297230000000</f>
        <v>101962992000000</v>
      </c>
      <c r="E48" s="11">
        <f>D48-D47</f>
        <v>8312147000000</v>
      </c>
      <c r="F48" s="7">
        <v>150610618000000</v>
      </c>
      <c r="G48" s="1">
        <f t="shared" si="0"/>
        <v>5.518964804991372E-2</v>
      </c>
    </row>
    <row r="49" spans="1:7" x14ac:dyDescent="0.35">
      <c r="A49" s="1">
        <v>48</v>
      </c>
      <c r="B49" s="1" t="s">
        <v>12</v>
      </c>
      <c r="C49" s="1">
        <v>2019</v>
      </c>
      <c r="D49" s="7">
        <f>1693465000000+104325105000000+757139000000</f>
        <v>106775709000000</v>
      </c>
      <c r="E49" s="11">
        <f t="shared" ref="E49:E51" si="10">D49-D48</f>
        <v>4812717000000</v>
      </c>
      <c r="F49" s="7">
        <v>157172062500000</v>
      </c>
      <c r="G49" s="1">
        <f t="shared" si="0"/>
        <v>3.0620689984264857E-2</v>
      </c>
    </row>
    <row r="50" spans="1:7" x14ac:dyDescent="0.35">
      <c r="A50" s="1">
        <v>49</v>
      </c>
      <c r="B50" s="1" t="s">
        <v>12</v>
      </c>
      <c r="C50" s="1">
        <v>2020</v>
      </c>
      <c r="D50" s="7">
        <f>1434917000000+110698468000000+112440000000</f>
        <v>112245825000000</v>
      </c>
      <c r="E50" s="11">
        <f t="shared" si="10"/>
        <v>5470116000000</v>
      </c>
      <c r="F50" s="7">
        <v>179588678000000</v>
      </c>
      <c r="G50" s="1">
        <f t="shared" si="0"/>
        <v>3.0459136182293185E-2</v>
      </c>
    </row>
    <row r="51" spans="1:7" x14ac:dyDescent="0.35">
      <c r="A51" s="1">
        <v>50</v>
      </c>
      <c r="B51" s="1" t="s">
        <v>12</v>
      </c>
      <c r="C51" s="1">
        <v>2021</v>
      </c>
      <c r="D51" s="7">
        <f>1927008000000+116875286000000+110592000000</f>
        <v>118912886000000</v>
      </c>
      <c r="E51" s="11">
        <f t="shared" si="10"/>
        <v>6667061000000</v>
      </c>
      <c r="F51" s="7">
        <v>216052569500000</v>
      </c>
      <c r="G51" s="1">
        <f t="shared" si="0"/>
        <v>3.085851288614274E-2</v>
      </c>
    </row>
    <row r="52" spans="1:7" x14ac:dyDescent="0.35">
      <c r="A52" s="1">
        <v>51</v>
      </c>
      <c r="B52" s="1" t="s">
        <v>13</v>
      </c>
      <c r="C52" s="1">
        <v>2017</v>
      </c>
      <c r="D52" s="7">
        <f>16939102000000+8579855000000+370051000000+9571000000+204225000000+51533000000+85680000000</f>
        <v>26240017000000</v>
      </c>
      <c r="E52" s="9"/>
      <c r="F52" s="7"/>
      <c r="G52" s="1" t="e">
        <f t="shared" si="0"/>
        <v>#DIV/0!</v>
      </c>
    </row>
    <row r="53" spans="1:7" x14ac:dyDescent="0.35">
      <c r="A53" s="1">
        <v>52</v>
      </c>
      <c r="B53" s="1" t="s">
        <v>13</v>
      </c>
      <c r="C53" s="1">
        <v>2018</v>
      </c>
      <c r="D53" s="7">
        <f>23258706000000+1698000000+4370502000000+240637000000+241000000+141036000000+55376000000</f>
        <v>28068196000000</v>
      </c>
      <c r="E53" s="11">
        <f>D53-D52</f>
        <v>1828179000000</v>
      </c>
      <c r="F53" s="7">
        <v>30494687000000</v>
      </c>
      <c r="G53" s="1">
        <f t="shared" si="0"/>
        <v>5.9950738304019972E-2</v>
      </c>
    </row>
    <row r="54" spans="1:7" x14ac:dyDescent="0.35">
      <c r="A54" s="1">
        <v>53</v>
      </c>
      <c r="B54" s="1" t="s">
        <v>13</v>
      </c>
      <c r="C54" s="1">
        <v>2019</v>
      </c>
      <c r="D54" s="7">
        <f>26799715000000+2479000000+2822205000000+290520000000+33000000+121222000000+345788000000</f>
        <v>30381962000000</v>
      </c>
      <c r="E54" s="11">
        <f t="shared" ref="E54:E56" si="11">D54-D53</f>
        <v>2313766000000</v>
      </c>
      <c r="F54" s="7">
        <v>33306647000000</v>
      </c>
      <c r="G54" s="1">
        <f t="shared" si="0"/>
        <v>6.9468595863162091E-2</v>
      </c>
    </row>
    <row r="55" spans="1:7" x14ac:dyDescent="0.35">
      <c r="A55" s="1">
        <v>54</v>
      </c>
      <c r="B55" s="1" t="s">
        <v>13</v>
      </c>
      <c r="C55" s="1">
        <v>2020</v>
      </c>
      <c r="D55" s="7">
        <f>20151991000000+2449818000000+296000000+246644000000+153970000000+245768000000+1849000000</f>
        <v>23250336000000</v>
      </c>
      <c r="E55" s="11">
        <f t="shared" si="11"/>
        <v>-7131626000000</v>
      </c>
      <c r="F55" s="7">
        <v>32173683000000</v>
      </c>
      <c r="G55" s="1">
        <f t="shared" si="0"/>
        <v>-0.22166023081659628</v>
      </c>
    </row>
    <row r="56" spans="1:7" x14ac:dyDescent="0.35">
      <c r="A56" s="1">
        <v>55</v>
      </c>
      <c r="B56" s="1" t="s">
        <v>13</v>
      </c>
      <c r="C56" s="1">
        <v>2021</v>
      </c>
      <c r="D56" s="7">
        <f>16904868000000+2006000000+3051084000000+242000000+280613000000+99517000000+256444000000</f>
        <v>20594774000000</v>
      </c>
      <c r="E56" s="11">
        <f t="shared" si="11"/>
        <v>-2655562000000</v>
      </c>
      <c r="F56" s="7">
        <v>26478199000000</v>
      </c>
      <c r="G56" s="1">
        <f t="shared" si="0"/>
        <v>-0.10029239526449665</v>
      </c>
    </row>
    <row r="57" spans="1:7" x14ac:dyDescent="0.35">
      <c r="A57" s="1">
        <v>56</v>
      </c>
      <c r="B57" s="1" t="s">
        <v>14</v>
      </c>
      <c r="C57" s="1">
        <v>2017</v>
      </c>
      <c r="D57" s="7">
        <f>15576687733000+117881394000</f>
        <v>15694569127000</v>
      </c>
      <c r="E57" s="9"/>
      <c r="F57" s="7"/>
      <c r="G57" s="1" t="e">
        <f t="shared" si="0"/>
        <v>#DIV/0!</v>
      </c>
    </row>
    <row r="58" spans="1:7" x14ac:dyDescent="0.35">
      <c r="A58" s="1">
        <v>57</v>
      </c>
      <c r="B58" s="1" t="s">
        <v>14</v>
      </c>
      <c r="C58" s="1">
        <v>2018</v>
      </c>
      <c r="D58" s="7">
        <f>16102771560000+164546909000</f>
        <v>16267318469000</v>
      </c>
      <c r="E58" s="11">
        <f>D58-D57</f>
        <v>572749342000</v>
      </c>
      <c r="F58" s="7">
        <v>29498961992500</v>
      </c>
      <c r="G58" s="1">
        <f t="shared" si="0"/>
        <v>1.9415915114085011E-2</v>
      </c>
    </row>
    <row r="59" spans="1:7" x14ac:dyDescent="0.35">
      <c r="A59" s="1">
        <v>58</v>
      </c>
      <c r="B59" s="1" t="s">
        <v>14</v>
      </c>
      <c r="C59" s="1">
        <v>2019</v>
      </c>
      <c r="D59" s="7">
        <f>17054738234000+66543426000</f>
        <v>17121281660000</v>
      </c>
      <c r="E59" s="11">
        <f t="shared" ref="E59:E61" si="12">D59-D58</f>
        <v>853963191000</v>
      </c>
      <c r="F59" s="7">
        <v>30314387069500</v>
      </c>
      <c r="G59" s="1">
        <f t="shared" si="0"/>
        <v>2.8170227853928538E-2</v>
      </c>
    </row>
    <row r="60" spans="1:7" x14ac:dyDescent="0.35">
      <c r="A60" s="1">
        <v>59</v>
      </c>
      <c r="B60" s="1" t="s">
        <v>14</v>
      </c>
      <c r="C60" s="1">
        <v>2020</v>
      </c>
      <c r="D60" s="7">
        <f>14245976032000</f>
        <v>14245976032000</v>
      </c>
      <c r="E60" s="11">
        <f t="shared" si="12"/>
        <v>-2875305628000</v>
      </c>
      <c r="F60" s="7">
        <v>28338933137000</v>
      </c>
      <c r="G60" s="1">
        <f t="shared" si="0"/>
        <v>-0.10146132227701724</v>
      </c>
    </row>
    <row r="61" spans="1:7" x14ac:dyDescent="0.35">
      <c r="A61" s="1">
        <v>60</v>
      </c>
      <c r="B61" s="1" t="s">
        <v>14</v>
      </c>
      <c r="C61" s="1">
        <v>2021</v>
      </c>
      <c r="D61" s="7">
        <f>14786800658000</f>
        <v>14786800658000</v>
      </c>
      <c r="E61" s="11">
        <f t="shared" si="12"/>
        <v>540824626000</v>
      </c>
      <c r="F61" s="7">
        <v>25584275258500</v>
      </c>
      <c r="G61" s="1">
        <f t="shared" si="0"/>
        <v>2.1138946502708492E-2</v>
      </c>
    </row>
    <row r="62" spans="1:7" x14ac:dyDescent="0.35">
      <c r="A62" s="1">
        <v>61</v>
      </c>
      <c r="B62" s="1" t="s">
        <v>15</v>
      </c>
      <c r="C62" s="1">
        <v>2017</v>
      </c>
      <c r="D62" s="7">
        <f>2713270788000+5716045944000+1139565087000+50722720000</f>
        <v>9619604539000</v>
      </c>
      <c r="E62" s="9"/>
      <c r="F62" s="7"/>
      <c r="G62" s="1" t="e">
        <f t="shared" si="0"/>
        <v>#DIV/0!</v>
      </c>
    </row>
    <row r="63" spans="1:7" x14ac:dyDescent="0.35">
      <c r="A63" s="1">
        <v>62</v>
      </c>
      <c r="B63" s="1" t="s">
        <v>15</v>
      </c>
      <c r="C63" s="1">
        <v>2018</v>
      </c>
      <c r="D63" s="7">
        <f>1369068419000+8163519402000+736038827000+463999782000</f>
        <v>10732626430000</v>
      </c>
      <c r="E63" s="11">
        <f>D63-D62</f>
        <v>1113021891000</v>
      </c>
      <c r="F63" s="7">
        <v>10497063221500</v>
      </c>
      <c r="G63" s="1">
        <f t="shared" si="0"/>
        <v>0.10603174121313451</v>
      </c>
    </row>
    <row r="64" spans="1:7" x14ac:dyDescent="0.35">
      <c r="A64" s="1">
        <v>63</v>
      </c>
      <c r="B64" s="1" t="s">
        <v>15</v>
      </c>
      <c r="C64" s="1">
        <v>2019</v>
      </c>
      <c r="D64" s="7">
        <f>741211620000+9846112210000+695030908000+437440382000</f>
        <v>11719795120000</v>
      </c>
      <c r="E64" s="11">
        <f t="shared" ref="E64:E66" si="13">D64-D63</f>
        <v>987168690000</v>
      </c>
      <c r="F64" s="7">
        <v>11610378593000</v>
      </c>
      <c r="G64" s="1">
        <f t="shared" si="0"/>
        <v>8.5024677024328282E-2</v>
      </c>
    </row>
    <row r="65" spans="1:7" x14ac:dyDescent="0.35">
      <c r="A65" s="1">
        <v>64</v>
      </c>
      <c r="B65" s="1" t="s">
        <v>15</v>
      </c>
      <c r="C65" s="1">
        <v>2020</v>
      </c>
      <c r="D65" s="7">
        <f>433448957000+7175723377000+671273001000+438906799000</f>
        <v>8719352134000</v>
      </c>
      <c r="E65" s="11">
        <f t="shared" si="13"/>
        <v>-3000442986000</v>
      </c>
      <c r="F65" s="7">
        <v>11517467142500</v>
      </c>
      <c r="G65" s="1">
        <f t="shared" si="0"/>
        <v>-0.26051239815811789</v>
      </c>
    </row>
    <row r="66" spans="1:7" x14ac:dyDescent="0.35">
      <c r="A66" s="1">
        <v>65</v>
      </c>
      <c r="B66" s="1" t="s">
        <v>15</v>
      </c>
      <c r="C66" s="1">
        <v>2021</v>
      </c>
      <c r="D66" s="7">
        <f>202613282000+5661194488000+82252189000+462366165000</f>
        <v>6408426124000</v>
      </c>
      <c r="E66" s="11">
        <f t="shared" si="13"/>
        <v>-2310926010000</v>
      </c>
      <c r="F66" s="7">
        <v>9020680117500</v>
      </c>
      <c r="G66" s="1">
        <f t="shared" si="0"/>
        <v>-0.25618090652797165</v>
      </c>
    </row>
    <row r="67" spans="1:7" x14ac:dyDescent="0.35">
      <c r="A67" s="1">
        <v>66</v>
      </c>
      <c r="B67" s="1" t="s">
        <v>16</v>
      </c>
      <c r="C67" s="1">
        <v>2017</v>
      </c>
      <c r="D67" s="7">
        <f>3585278352000+45783117000+5282704000</f>
        <v>3636344173000</v>
      </c>
      <c r="E67" s="9"/>
      <c r="F67" s="7"/>
      <c r="G67" s="1" t="e">
        <f t="shared" ref="G67:G130" si="14">E67/F67</f>
        <v>#DIV/0!</v>
      </c>
    </row>
    <row r="68" spans="1:7" x14ac:dyDescent="0.35">
      <c r="A68" s="1">
        <v>67</v>
      </c>
      <c r="B68" s="1" t="s">
        <v>16</v>
      </c>
      <c r="C68" s="1">
        <v>2018</v>
      </c>
      <c r="D68" s="7">
        <f>1567514959000+32912364000+4780126000+11530914000</f>
        <v>1616738363000</v>
      </c>
      <c r="E68" s="11">
        <f>D68-D67</f>
        <v>-2019605810000</v>
      </c>
      <c r="F68" s="7">
        <v>3055761564500</v>
      </c>
      <c r="G68" s="1">
        <f t="shared" si="14"/>
        <v>-0.66091734167435234</v>
      </c>
    </row>
    <row r="69" spans="1:7" x14ac:dyDescent="0.35">
      <c r="A69" s="1">
        <v>68</v>
      </c>
      <c r="B69" s="1" t="s">
        <v>16</v>
      </c>
      <c r="C69" s="1">
        <v>2019</v>
      </c>
      <c r="D69" s="7">
        <f>502697630000+49933215000+1139727000+69589000</f>
        <v>553840161000</v>
      </c>
      <c r="E69" s="11">
        <f t="shared" ref="E69:E71" si="15">D69-D68</f>
        <v>-1062898202000</v>
      </c>
      <c r="F69" s="7">
        <v>1726090971500</v>
      </c>
      <c r="G69" s="1">
        <f t="shared" si="14"/>
        <v>-0.61578342019617016</v>
      </c>
    </row>
    <row r="70" spans="1:7" x14ac:dyDescent="0.35">
      <c r="A70" s="1">
        <v>69</v>
      </c>
      <c r="B70" s="1" t="s">
        <v>16</v>
      </c>
      <c r="C70" s="1">
        <v>2020</v>
      </c>
      <c r="D70" s="7">
        <f>285098091000+45060540000+143563000+6792416000</f>
        <v>337094610000</v>
      </c>
      <c r="E70" s="11">
        <f t="shared" si="15"/>
        <v>-216745551000</v>
      </c>
      <c r="F70" s="7">
        <v>981752011500</v>
      </c>
      <c r="G70" s="1">
        <f t="shared" si="14"/>
        <v>-0.22077423673300006</v>
      </c>
    </row>
    <row r="71" spans="1:7" x14ac:dyDescent="0.35">
      <c r="A71" s="1">
        <v>70</v>
      </c>
      <c r="B71" s="1" t="s">
        <v>16</v>
      </c>
      <c r="C71" s="1">
        <v>2021</v>
      </c>
      <c r="D71" s="7">
        <f>980271775000+33803415000+405658000+11634137000</f>
        <v>1026114985000</v>
      </c>
      <c r="E71" s="11">
        <f t="shared" si="15"/>
        <v>689020375000</v>
      </c>
      <c r="F71" s="7">
        <v>1025994461500</v>
      </c>
      <c r="G71" s="1">
        <f t="shared" si="14"/>
        <v>0.67156344488707553</v>
      </c>
    </row>
    <row r="72" spans="1:7" x14ac:dyDescent="0.35">
      <c r="A72" s="1">
        <v>71</v>
      </c>
      <c r="B72" s="1" t="s">
        <v>17</v>
      </c>
      <c r="C72" s="1">
        <v>2017</v>
      </c>
      <c r="D72" s="7">
        <f>55348547000000+36000000</f>
        <v>55348583000000</v>
      </c>
      <c r="E72" s="9"/>
      <c r="F72" s="7"/>
      <c r="G72" s="1" t="e">
        <f t="shared" si="14"/>
        <v>#DIV/0!</v>
      </c>
    </row>
    <row r="73" spans="1:7" x14ac:dyDescent="0.35">
      <c r="A73" s="1">
        <v>72</v>
      </c>
      <c r="B73" s="1" t="s">
        <v>17</v>
      </c>
      <c r="C73" s="1">
        <v>2018</v>
      </c>
      <c r="D73" s="7">
        <f>63586749000000</f>
        <v>63586749000000</v>
      </c>
      <c r="E73" s="11">
        <f>D73-D72</f>
        <v>8238166000000</v>
      </c>
      <c r="F73" s="7">
        <v>80858731500000</v>
      </c>
      <c r="G73" s="1">
        <f t="shared" si="14"/>
        <v>0.10188344347202627</v>
      </c>
    </row>
    <row r="74" spans="1:7" x14ac:dyDescent="0.35">
      <c r="A74" s="1">
        <v>73</v>
      </c>
      <c r="B74" s="1" t="s">
        <v>17</v>
      </c>
      <c r="C74" s="1">
        <v>2019</v>
      </c>
      <c r="D74" s="7">
        <f>69067509000000</f>
        <v>69067509000000</v>
      </c>
      <c r="E74" s="11">
        <f t="shared" ref="E74:E76" si="16">D74-D73</f>
        <v>5480760000000</v>
      </c>
      <c r="F74" s="7">
        <v>90190362000000</v>
      </c>
      <c r="G74" s="1">
        <f t="shared" si="14"/>
        <v>6.0768799220475463E-2</v>
      </c>
    </row>
    <row r="75" spans="1:7" x14ac:dyDescent="0.35">
      <c r="A75" s="1">
        <v>74</v>
      </c>
      <c r="B75" s="1" t="s">
        <v>17</v>
      </c>
      <c r="C75" s="1">
        <v>2020</v>
      </c>
      <c r="D75" s="7">
        <v>53905027000000</v>
      </c>
      <c r="E75" s="11">
        <f t="shared" si="16"/>
        <v>-15162482000000</v>
      </c>
      <c r="F75" s="7">
        <v>92963428000000</v>
      </c>
      <c r="G75" s="1">
        <f t="shared" si="14"/>
        <v>-0.1631015801181514</v>
      </c>
    </row>
    <row r="76" spans="1:7" x14ac:dyDescent="0.35">
      <c r="A76" s="1">
        <v>75</v>
      </c>
      <c r="B76" s="1" t="s">
        <v>17</v>
      </c>
      <c r="C76" s="1">
        <v>2021</v>
      </c>
      <c r="D76" s="7">
        <f>69529675000000+31622000000</f>
        <v>69561297000000</v>
      </c>
      <c r="E76" s="11">
        <f t="shared" si="16"/>
        <v>15656270000000</v>
      </c>
      <c r="F76" s="7">
        <v>105811105000000</v>
      </c>
      <c r="G76" s="1">
        <f t="shared" si="14"/>
        <v>0.14796433701358661</v>
      </c>
    </row>
    <row r="77" spans="1:7" x14ac:dyDescent="0.35">
      <c r="A77" s="1">
        <v>76</v>
      </c>
      <c r="B77" s="1" t="s">
        <v>18</v>
      </c>
      <c r="C77" s="1">
        <v>2017</v>
      </c>
      <c r="D77" s="7">
        <f>3285281920+30733477830+1545878134+2667907025</f>
        <v>38232544909</v>
      </c>
      <c r="E77" s="9"/>
      <c r="F77" s="7"/>
      <c r="G77" s="1" t="e">
        <f t="shared" si="14"/>
        <v>#DIV/0!</v>
      </c>
    </row>
    <row r="78" spans="1:7" x14ac:dyDescent="0.35">
      <c r="A78" s="1">
        <v>77</v>
      </c>
      <c r="B78" s="1" t="s">
        <v>18</v>
      </c>
      <c r="C78" s="1">
        <v>2018</v>
      </c>
      <c r="D78" s="7">
        <f>7193233188+12154104114+25007486+2281592270</f>
        <v>21653937058</v>
      </c>
      <c r="E78" s="11">
        <f>D78-D77</f>
        <v>-16578607851</v>
      </c>
      <c r="F78" s="7">
        <v>525624125551.5</v>
      </c>
      <c r="G78" s="1">
        <f t="shared" si="14"/>
        <v>-3.1540804626509954E-2</v>
      </c>
    </row>
    <row r="79" spans="1:7" x14ac:dyDescent="0.35">
      <c r="A79" s="1">
        <v>78</v>
      </c>
      <c r="B79" s="1" t="s">
        <v>18</v>
      </c>
      <c r="C79" s="1">
        <v>2019</v>
      </c>
      <c r="D79" s="7">
        <f>1648099099+10186825883+6706700+1279072820</f>
        <v>13120704502</v>
      </c>
      <c r="E79" s="11">
        <f t="shared" ref="E79:E81" si="17">D79-D78</f>
        <v>-8533232556</v>
      </c>
      <c r="F79" s="7">
        <v>480864783071</v>
      </c>
      <c r="G79" s="1">
        <f t="shared" si="14"/>
        <v>-1.7745596800629218E-2</v>
      </c>
    </row>
    <row r="80" spans="1:7" x14ac:dyDescent="0.35">
      <c r="A80" s="1">
        <v>79</v>
      </c>
      <c r="B80" s="1" t="s">
        <v>18</v>
      </c>
      <c r="C80" s="1">
        <v>2020</v>
      </c>
      <c r="D80" s="7">
        <f>10066241244+10853868920+315047836+943953898</f>
        <v>22179111898</v>
      </c>
      <c r="E80" s="11">
        <f t="shared" si="17"/>
        <v>9058407396</v>
      </c>
      <c r="F80" s="7">
        <v>376502006661</v>
      </c>
      <c r="G80" s="1">
        <f t="shared" si="14"/>
        <v>2.4059386764852312E-2</v>
      </c>
    </row>
    <row r="81" spans="1:7" x14ac:dyDescent="0.35">
      <c r="A81" s="1">
        <v>80</v>
      </c>
      <c r="B81" s="1" t="s">
        <v>18</v>
      </c>
      <c r="C81" s="1">
        <v>2021</v>
      </c>
      <c r="D81" s="7">
        <f>4796274213+3811048583+13961026+325168967</f>
        <v>8946452789</v>
      </c>
      <c r="E81" s="11">
        <f t="shared" si="17"/>
        <v>-13232659109</v>
      </c>
      <c r="F81" s="7">
        <v>300598582653</v>
      </c>
      <c r="G81" s="1">
        <f t="shared" si="14"/>
        <v>-4.4021029614352163E-2</v>
      </c>
    </row>
    <row r="82" spans="1:7" x14ac:dyDescent="0.35">
      <c r="A82" s="1">
        <v>81</v>
      </c>
      <c r="B82" s="1" t="s">
        <v>19</v>
      </c>
      <c r="C82" s="1">
        <v>2017</v>
      </c>
      <c r="D82" s="7">
        <f>83334000000+39616000000+10927000000</f>
        <v>133877000000</v>
      </c>
      <c r="E82" s="9"/>
      <c r="F82" s="7"/>
      <c r="G82" s="1" t="e">
        <f t="shared" si="14"/>
        <v>#DIV/0!</v>
      </c>
    </row>
    <row r="83" spans="1:7" x14ac:dyDescent="0.35">
      <c r="A83" s="1">
        <v>82</v>
      </c>
      <c r="B83" s="1" t="s">
        <v>19</v>
      </c>
      <c r="C83" s="1">
        <v>2018</v>
      </c>
      <c r="D83" s="7">
        <f>93329000000+73791000000+6227000000</f>
        <v>173347000000</v>
      </c>
      <c r="E83" s="11">
        <f>D83-D82</f>
        <v>39470000000</v>
      </c>
      <c r="F83" s="7">
        <v>27362022500000</v>
      </c>
      <c r="G83" s="1">
        <f t="shared" si="14"/>
        <v>1.4425103261281216E-3</v>
      </c>
    </row>
    <row r="84" spans="1:7" x14ac:dyDescent="0.35">
      <c r="A84" s="1">
        <v>83</v>
      </c>
      <c r="B84" s="1" t="s">
        <v>19</v>
      </c>
      <c r="C84" s="1">
        <v>2019</v>
      </c>
      <c r="D84" s="7">
        <f>90249000000+113506000000+18926000000</f>
        <v>222681000000</v>
      </c>
      <c r="E84" s="11">
        <f t="shared" ref="E84:E86" si="18">D84-D83</f>
        <v>49334000000</v>
      </c>
      <c r="F84" s="7">
        <v>29271055500000</v>
      </c>
      <c r="G84" s="1">
        <f t="shared" si="14"/>
        <v>1.6854192360777698E-3</v>
      </c>
    </row>
    <row r="85" spans="1:7" x14ac:dyDescent="0.35">
      <c r="A85" s="1">
        <v>84</v>
      </c>
      <c r="B85" s="1" t="s">
        <v>19</v>
      </c>
      <c r="C85" s="1">
        <v>2020</v>
      </c>
      <c r="D85" s="7">
        <f>88197000000+196420000000+35719000000</f>
        <v>320336000000</v>
      </c>
      <c r="E85" s="11">
        <f t="shared" si="18"/>
        <v>97655000000</v>
      </c>
      <c r="F85" s="7">
        <v>31335553500000</v>
      </c>
      <c r="G85" s="1">
        <f t="shared" si="14"/>
        <v>3.1164281173460045E-3</v>
      </c>
    </row>
    <row r="86" spans="1:7" x14ac:dyDescent="0.35">
      <c r="A86" s="1">
        <v>85</v>
      </c>
      <c r="B86" s="1" t="s">
        <v>19</v>
      </c>
      <c r="C86" s="1">
        <v>2021</v>
      </c>
      <c r="D86" s="7">
        <f>45881000000+89495000000+190295000000+20527000000</f>
        <v>346198000000</v>
      </c>
      <c r="E86" s="11">
        <f t="shared" si="18"/>
        <v>25862000000</v>
      </c>
      <c r="F86" s="7">
        <v>32787151000000</v>
      </c>
      <c r="G86" s="1">
        <f t="shared" si="14"/>
        <v>7.8878460650637198E-4</v>
      </c>
    </row>
    <row r="87" spans="1:7" x14ac:dyDescent="0.35">
      <c r="A87" s="1">
        <v>86</v>
      </c>
      <c r="B87" s="1" t="s">
        <v>20</v>
      </c>
      <c r="C87" s="1">
        <v>2017</v>
      </c>
      <c r="D87" s="7">
        <f>18649664000000+53211000000</f>
        <v>18702875000000</v>
      </c>
      <c r="E87" s="9"/>
      <c r="F87" s="7"/>
      <c r="G87" s="1" t="e">
        <f t="shared" si="14"/>
        <v>#DIV/0!</v>
      </c>
    </row>
    <row r="88" spans="1:7" x14ac:dyDescent="0.35">
      <c r="A88" s="1">
        <v>87</v>
      </c>
      <c r="B88" s="1" t="s">
        <v>20</v>
      </c>
      <c r="C88" s="1">
        <v>2018</v>
      </c>
      <c r="D88" s="7">
        <f>22294572000000+314239000000</f>
        <v>22608811000000</v>
      </c>
      <c r="E88" s="11">
        <f>D88-D87</f>
        <v>3905936000000</v>
      </c>
      <c r="F88" s="7">
        <v>28359098500000</v>
      </c>
      <c r="G88" s="1">
        <f t="shared" si="14"/>
        <v>0.13773131751702192</v>
      </c>
    </row>
    <row r="89" spans="1:7" x14ac:dyDescent="0.35">
      <c r="A89" s="1">
        <v>88</v>
      </c>
      <c r="B89" s="1" t="s">
        <v>20</v>
      </c>
      <c r="C89" s="1">
        <v>2019</v>
      </c>
      <c r="D89" s="7">
        <f>26429707000000+640049000000</f>
        <v>27069756000000</v>
      </c>
      <c r="E89" s="11">
        <f t="shared" ref="E89:E91" si="19">D89-D88</f>
        <v>4460945000000</v>
      </c>
      <c r="F89" s="7">
        <v>33286064500000</v>
      </c>
      <c r="G89" s="1">
        <f t="shared" si="14"/>
        <v>0.13401839679785515</v>
      </c>
    </row>
    <row r="90" spans="1:7" x14ac:dyDescent="0.35">
      <c r="A90" s="1">
        <v>89</v>
      </c>
      <c r="B90" s="1" t="s">
        <v>20</v>
      </c>
      <c r="C90" s="1">
        <v>2020</v>
      </c>
      <c r="D90" s="7">
        <f>29579069000000+666193000000</f>
        <v>30245262000000</v>
      </c>
      <c r="E90" s="11">
        <f t="shared" si="19"/>
        <v>3175506000000</v>
      </c>
      <c r="F90" s="7">
        <v>37497187500000</v>
      </c>
      <c r="G90" s="1">
        <f t="shared" si="14"/>
        <v>8.4686511488361621E-2</v>
      </c>
    </row>
    <row r="91" spans="1:7" x14ac:dyDescent="0.35">
      <c r="A91" s="1">
        <v>90</v>
      </c>
      <c r="B91" s="1" t="s">
        <v>20</v>
      </c>
      <c r="C91" s="1">
        <v>2021</v>
      </c>
      <c r="D91" s="7">
        <f>33429580000000+331593000000</f>
        <v>33761173000000</v>
      </c>
      <c r="E91" s="11">
        <f t="shared" si="19"/>
        <v>3515911000000</v>
      </c>
      <c r="F91" s="7">
        <v>40927755000000</v>
      </c>
      <c r="G91" s="1">
        <f t="shared" si="14"/>
        <v>8.5905298250539275E-2</v>
      </c>
    </row>
    <row r="92" spans="1:7" x14ac:dyDescent="0.35">
      <c r="A92" s="1">
        <v>91</v>
      </c>
      <c r="B92" s="1" t="s">
        <v>21</v>
      </c>
      <c r="C92" s="1">
        <v>2017</v>
      </c>
      <c r="D92" s="7">
        <f>1520255000000+3567000000+3979434000000+726170000000+18365482000000+185015000000+475422000000+845229000000</f>
        <v>26100574000000</v>
      </c>
      <c r="E92" s="9"/>
      <c r="F92" s="7"/>
      <c r="G92" s="1" t="e">
        <f t="shared" si="14"/>
        <v>#DIV/0!</v>
      </c>
    </row>
    <row r="93" spans="1:7" x14ac:dyDescent="0.35">
      <c r="A93" s="1">
        <v>92</v>
      </c>
      <c r="B93" s="1" t="s">
        <v>21</v>
      </c>
      <c r="C93" s="1">
        <v>2018</v>
      </c>
      <c r="D93" s="7">
        <f>1735809000000+2295000000+4415833000000+960829000000+19214056000000+243250000000+1058913000000+1241709000000</f>
        <v>28872694000000</v>
      </c>
      <c r="E93" s="11">
        <f>D93-D92</f>
        <v>2772120000000</v>
      </c>
      <c r="F93" s="7">
        <v>94875119500000</v>
      </c>
      <c r="G93" s="1">
        <f t="shared" si="14"/>
        <v>2.9218619324110573E-2</v>
      </c>
    </row>
    <row r="94" spans="1:7" x14ac:dyDescent="0.35">
      <c r="A94" s="1">
        <v>93</v>
      </c>
      <c r="B94" s="1" t="s">
        <v>21</v>
      </c>
      <c r="C94" s="1">
        <v>2019</v>
      </c>
      <c r="D94" s="7">
        <f>2783341000000+922000000+3996536000000+1118050000000+21314497000000+265212000000+503637000000+1785782000000</f>
        <v>31767977000000</v>
      </c>
      <c r="E94" s="11">
        <f t="shared" ref="E94:E96" si="20">D94-D93</f>
        <v>2895283000000</v>
      </c>
      <c r="F94" s="7">
        <v>100144154000000</v>
      </c>
      <c r="G94" s="1">
        <f t="shared" si="14"/>
        <v>2.8911153415904837E-2</v>
      </c>
    </row>
    <row r="95" spans="1:7" x14ac:dyDescent="0.35">
      <c r="A95" s="1">
        <v>94</v>
      </c>
      <c r="B95" s="1" t="s">
        <v>21</v>
      </c>
      <c r="C95" s="1">
        <v>2020</v>
      </c>
      <c r="D95" s="7">
        <f>2229745000000+526000000+3700987000000+1013362000000+18878373000000+153577000000+976673000000+1476148000000</f>
        <v>28429391000000</v>
      </c>
      <c r="E95" s="11">
        <f t="shared" si="20"/>
        <v>-3338586000000</v>
      </c>
      <c r="F95" s="7">
        <v>104040542000000</v>
      </c>
      <c r="G95" s="1">
        <f t="shared" si="14"/>
        <v>-3.2089279196565505E-2</v>
      </c>
    </row>
    <row r="96" spans="1:7" x14ac:dyDescent="0.35">
      <c r="A96" s="1">
        <v>95</v>
      </c>
      <c r="B96" s="1" t="s">
        <v>21</v>
      </c>
      <c r="C96" s="1">
        <v>2021</v>
      </c>
      <c r="D96" s="7">
        <f>2042898000000+300613000000+2816748000000+1889817000000+16067805000000+247165000000+385163000000+1569255000000</f>
        <v>25319464000000</v>
      </c>
      <c r="E96" s="11">
        <f t="shared" si="20"/>
        <v>-3109927000000</v>
      </c>
      <c r="F96" s="7">
        <v>112983113000000</v>
      </c>
      <c r="G96" s="1">
        <f t="shared" si="14"/>
        <v>-2.7525591368685338E-2</v>
      </c>
    </row>
    <row r="97" spans="1:7" x14ac:dyDescent="0.35">
      <c r="A97" s="1">
        <v>96</v>
      </c>
      <c r="B97" s="1" t="s">
        <v>22</v>
      </c>
      <c r="C97" s="1">
        <v>2017</v>
      </c>
      <c r="D97" s="7">
        <f>6796231000000+57981000000</f>
        <v>6854212000000</v>
      </c>
      <c r="E97" s="9"/>
      <c r="F97" s="7"/>
      <c r="G97" s="1" t="e">
        <f t="shared" si="14"/>
        <v>#DIV/0!</v>
      </c>
    </row>
    <row r="98" spans="1:7" x14ac:dyDescent="0.35">
      <c r="A98" s="1">
        <v>97</v>
      </c>
      <c r="B98" s="1" t="s">
        <v>22</v>
      </c>
      <c r="C98" s="1">
        <v>2018</v>
      </c>
      <c r="D98" s="7">
        <f>7243068000000+72344000000</f>
        <v>7315412000000</v>
      </c>
      <c r="E98" s="11">
        <f>D98-D97</f>
        <v>461200000000</v>
      </c>
      <c r="F98" s="7">
        <v>8286519500000</v>
      </c>
      <c r="G98" s="1">
        <f t="shared" si="14"/>
        <v>5.5656660193703765E-2</v>
      </c>
    </row>
    <row r="99" spans="1:7" x14ac:dyDescent="0.35">
      <c r="A99" s="1">
        <v>98</v>
      </c>
      <c r="B99" s="1" t="s">
        <v>22</v>
      </c>
      <c r="C99" s="1">
        <v>2019</v>
      </c>
      <c r="D99" s="7">
        <f>7205215000000+46574000000</f>
        <v>7251789000000</v>
      </c>
      <c r="E99" s="11">
        <f t="shared" ref="E99:E100" si="21">D99-D98</f>
        <v>-63623000000</v>
      </c>
      <c r="F99" s="7">
        <v>8549238500000</v>
      </c>
      <c r="G99" s="1">
        <f t="shared" si="14"/>
        <v>-7.4419493619227025E-3</v>
      </c>
    </row>
    <row r="100" spans="1:7" x14ac:dyDescent="0.35">
      <c r="A100" s="1">
        <v>99</v>
      </c>
      <c r="B100" s="1" t="s">
        <v>22</v>
      </c>
      <c r="C100" s="1">
        <v>2020</v>
      </c>
      <c r="D100" s="7">
        <f>4280120000000+15070000000+23371000000+42988000000</f>
        <v>4361549000000</v>
      </c>
      <c r="E100" s="11">
        <f t="shared" si="21"/>
        <v>-2890240000000</v>
      </c>
      <c r="F100" s="7">
        <v>6777436000000</v>
      </c>
      <c r="G100" s="1">
        <f t="shared" si="14"/>
        <v>-0.42645035674257936</v>
      </c>
    </row>
    <row r="101" spans="1:7" x14ac:dyDescent="0.35">
      <c r="A101" s="1">
        <v>100</v>
      </c>
      <c r="B101" s="1" t="s">
        <v>22</v>
      </c>
      <c r="C101" s="1">
        <v>2021</v>
      </c>
      <c r="D101" s="7">
        <f>4051367000000+240153000000+124119000000+24206000000</f>
        <v>4439845000000</v>
      </c>
      <c r="E101" s="11">
        <f>D101-D100</f>
        <v>78296000000</v>
      </c>
      <c r="F101" s="7">
        <v>5217393000000</v>
      </c>
      <c r="G101" s="1">
        <f t="shared" si="14"/>
        <v>1.5006728456146584E-2</v>
      </c>
    </row>
    <row r="102" spans="1:7" ht="15.5" x14ac:dyDescent="0.35">
      <c r="A102" s="1">
        <v>101</v>
      </c>
      <c r="B102" s="2" t="s">
        <v>78</v>
      </c>
      <c r="C102" s="25">
        <v>2017</v>
      </c>
      <c r="D102" s="27">
        <f>217540042000+9764268000+480404951000</f>
        <v>707709261000</v>
      </c>
      <c r="E102" s="9"/>
      <c r="F102" s="7">
        <v>1070215752000</v>
      </c>
      <c r="G102" s="1">
        <f t="shared" si="14"/>
        <v>0</v>
      </c>
    </row>
    <row r="103" spans="1:7" ht="15.5" x14ac:dyDescent="0.35">
      <c r="A103" s="1">
        <v>102</v>
      </c>
      <c r="B103" s="2"/>
      <c r="C103" s="25">
        <v>2018</v>
      </c>
      <c r="D103" s="27">
        <f>175236399000+6916864000+488170445000</f>
        <v>670323708000</v>
      </c>
      <c r="E103" s="11">
        <f>D103-D102</f>
        <v>-37385553000</v>
      </c>
      <c r="F103" s="7">
        <v>1068987124000</v>
      </c>
      <c r="G103" s="1">
        <f t="shared" si="14"/>
        <v>-3.4972874939885622E-2</v>
      </c>
    </row>
    <row r="104" spans="1:7" ht="15.5" x14ac:dyDescent="0.35">
      <c r="A104" s="1">
        <v>103</v>
      </c>
      <c r="B104" s="2"/>
      <c r="C104" s="25">
        <v>2019</v>
      </c>
      <c r="D104" s="27">
        <f>192392661000+5825053000+780492000+505689763000</f>
        <v>704687969000</v>
      </c>
      <c r="E104" s="11">
        <f t="shared" ref="E104:E105" si="22">D104-D103</f>
        <v>34364261000</v>
      </c>
      <c r="F104" s="7">
        <v>1109718793500</v>
      </c>
      <c r="G104" s="1">
        <f t="shared" si="14"/>
        <v>3.0966638756848269E-2</v>
      </c>
    </row>
    <row r="105" spans="1:7" ht="15.5" x14ac:dyDescent="0.35">
      <c r="A105" s="1">
        <v>104</v>
      </c>
      <c r="B105" s="2"/>
      <c r="C105" s="25">
        <v>2020</v>
      </c>
      <c r="D105" s="27">
        <f>135512003000+6365584000+716170000+314704061000</f>
        <v>457297818000</v>
      </c>
      <c r="E105" s="11">
        <f t="shared" si="22"/>
        <v>-247390151000</v>
      </c>
      <c r="F105" s="7">
        <v>1008957633000</v>
      </c>
      <c r="G105" s="1">
        <f t="shared" si="14"/>
        <v>-0.24519379497077456</v>
      </c>
    </row>
    <row r="106" spans="1:7" ht="15.5" x14ac:dyDescent="0.35">
      <c r="A106" s="1">
        <v>105</v>
      </c>
      <c r="B106" s="2"/>
      <c r="C106" s="25">
        <v>2021</v>
      </c>
      <c r="D106" s="27">
        <f>124483909000+17002410000+664490000+269768559000</f>
        <v>411919368000</v>
      </c>
      <c r="E106" s="11">
        <f>D106-D105</f>
        <v>-45378450000</v>
      </c>
      <c r="F106" s="7">
        <v>841308440000</v>
      </c>
      <c r="G106" s="1">
        <f t="shared" si="14"/>
        <v>-5.393794694369166E-2</v>
      </c>
    </row>
    <row r="107" spans="1:7" ht="15.5" x14ac:dyDescent="0.35">
      <c r="A107" s="1">
        <v>106</v>
      </c>
      <c r="B107" s="2" t="s">
        <v>79</v>
      </c>
      <c r="C107" s="25">
        <v>2017</v>
      </c>
      <c r="D107" s="27">
        <f>3601000000+70479820000000+170227000000</f>
        <v>70653648000000</v>
      </c>
      <c r="E107" s="9"/>
      <c r="F107" s="7">
        <v>105924500500000</v>
      </c>
      <c r="G107" s="29">
        <f>E107/F107</f>
        <v>0</v>
      </c>
    </row>
    <row r="108" spans="1:7" ht="15.5" x14ac:dyDescent="0.35">
      <c r="A108" s="1">
        <v>107</v>
      </c>
      <c r="B108" s="2"/>
      <c r="C108" s="25">
        <v>2018</v>
      </c>
      <c r="D108" s="27">
        <f>113000000+64365307000000+134915000000</f>
        <v>64500335000000</v>
      </c>
      <c r="E108" s="28">
        <f>D108-D107</f>
        <v>-6153313000000</v>
      </c>
      <c r="F108" s="7">
        <v>101043461000000</v>
      </c>
      <c r="G108" s="1">
        <f t="shared" si="14"/>
        <v>-6.0897686392591008E-2</v>
      </c>
    </row>
    <row r="109" spans="1:7" ht="15.5" x14ac:dyDescent="0.35">
      <c r="A109" s="1">
        <v>108</v>
      </c>
      <c r="B109" s="2"/>
      <c r="C109" s="25">
        <v>2019</v>
      </c>
      <c r="D109" s="27">
        <f>67835773000000+111321000000</f>
        <v>67947094000000</v>
      </c>
      <c r="E109" s="28">
        <f t="shared" ref="E109:E111" si="23">D109-D108</f>
        <v>3446759000000</v>
      </c>
      <c r="F109" s="7">
        <v>97954085500000</v>
      </c>
      <c r="G109" s="1">
        <f t="shared" si="14"/>
        <v>3.5187496084581382E-2</v>
      </c>
    </row>
    <row r="110" spans="1:7" ht="15.5" x14ac:dyDescent="0.35">
      <c r="A110" s="1">
        <v>109</v>
      </c>
      <c r="B110" s="2"/>
      <c r="C110" s="25">
        <v>2020</v>
      </c>
      <c r="D110" s="27">
        <f>4555000000+56266216000000+66182000000</f>
        <v>56336953000000</v>
      </c>
      <c r="E110" s="28">
        <f t="shared" si="23"/>
        <v>-11610141000000</v>
      </c>
      <c r="F110" s="7">
        <v>90101413000000</v>
      </c>
      <c r="G110" s="1">
        <f t="shared" si="14"/>
        <v>-0.12885636987735141</v>
      </c>
    </row>
    <row r="111" spans="1:7" ht="15.5" x14ac:dyDescent="0.35">
      <c r="A111" s="1">
        <v>110</v>
      </c>
      <c r="B111" s="2"/>
      <c r="C111" s="25">
        <v>2021</v>
      </c>
      <c r="D111" s="27">
        <f>9898000000+53850273000000+5352000000</f>
        <v>53865523000000</v>
      </c>
      <c r="E111" s="28">
        <f t="shared" si="23"/>
        <v>-2471430000000</v>
      </c>
      <c r="F111" s="7">
        <v>84577126000000</v>
      </c>
      <c r="G111" s="1">
        <f t="shared" si="14"/>
        <v>-2.9221021295994382E-2</v>
      </c>
    </row>
    <row r="112" spans="1:7" ht="15.5" x14ac:dyDescent="0.35">
      <c r="A112" s="1">
        <v>111</v>
      </c>
      <c r="B112" s="2" t="s">
        <v>80</v>
      </c>
      <c r="C112" s="25">
        <v>2017</v>
      </c>
      <c r="D112" s="27">
        <f>6648063484086+175402797233</f>
        <v>6823466281319</v>
      </c>
      <c r="E112" s="9"/>
      <c r="F112" s="7">
        <v>11203034324962.5</v>
      </c>
      <c r="G112" s="1">
        <f t="shared" si="14"/>
        <v>0</v>
      </c>
    </row>
    <row r="113" spans="1:7" ht="15.5" x14ac:dyDescent="0.35">
      <c r="A113" s="1">
        <v>112</v>
      </c>
      <c r="B113" s="2"/>
      <c r="C113" s="25">
        <v>2018</v>
      </c>
      <c r="D113" s="27">
        <f>7118535582023+134543234500</f>
        <v>7253078816523</v>
      </c>
      <c r="E113" s="28">
        <f>D113-D112</f>
        <v>429612535204</v>
      </c>
      <c r="F113" s="7">
        <v>11955461912645</v>
      </c>
      <c r="G113" s="1">
        <f t="shared" si="14"/>
        <v>3.5934415444844443E-2</v>
      </c>
    </row>
    <row r="114" spans="1:7" ht="15.5" x14ac:dyDescent="0.35">
      <c r="A114" s="1">
        <v>113</v>
      </c>
      <c r="B114" s="2"/>
      <c r="C114" s="25">
        <v>2019</v>
      </c>
      <c r="D114" s="27">
        <f>7648330156117+115957136170</f>
        <v>7764287292287</v>
      </c>
      <c r="E114" s="28">
        <f t="shared" ref="E114:E116" si="24">D114-D113</f>
        <v>511208475764</v>
      </c>
      <c r="F114" s="7">
        <v>12496649072098.5</v>
      </c>
      <c r="G114" s="1">
        <f t="shared" si="14"/>
        <v>4.0907644346466016E-2</v>
      </c>
    </row>
    <row r="115" spans="1:7" ht="15.5" x14ac:dyDescent="0.35">
      <c r="A115" s="1">
        <v>114</v>
      </c>
      <c r="B115" s="2"/>
      <c r="C115" s="25">
        <v>2020</v>
      </c>
      <c r="D115" s="27">
        <f>7041997767384+1429258927</f>
        <v>7043427026311</v>
      </c>
      <c r="E115" s="28">
        <f t="shared" si="24"/>
        <v>-720860265976</v>
      </c>
      <c r="F115" s="7">
        <v>13529987003898</v>
      </c>
      <c r="G115" s="1">
        <f t="shared" si="14"/>
        <v>-5.327871089368523E-2</v>
      </c>
    </row>
    <row r="116" spans="1:7" ht="15.5" x14ac:dyDescent="0.35">
      <c r="A116" s="1">
        <v>115</v>
      </c>
      <c r="B116" s="2"/>
      <c r="C116" s="25">
        <v>2021</v>
      </c>
      <c r="D116" s="27">
        <f>7794367992285+13921857917</f>
        <v>7808289850202</v>
      </c>
      <c r="E116" s="28">
        <f t="shared" si="24"/>
        <v>764862823891</v>
      </c>
      <c r="F116" s="7">
        <v>15071453766886.5</v>
      </c>
      <c r="G116" s="1">
        <f t="shared" si="14"/>
        <v>5.0749107267374603E-2</v>
      </c>
    </row>
    <row r="117" spans="1:7" ht="15.5" x14ac:dyDescent="0.35">
      <c r="A117" s="1">
        <v>116</v>
      </c>
      <c r="B117" s="2" t="s">
        <v>81</v>
      </c>
      <c r="C117" s="25">
        <v>2017</v>
      </c>
      <c r="D117" s="27">
        <f>10654353000000+162912000000+689559288000000+17287612000000+2385483000000</f>
        <v>720049648000000</v>
      </c>
      <c r="E117" s="9"/>
      <c r="F117" s="7">
        <v>1002936900500000</v>
      </c>
      <c r="G117" s="1">
        <f t="shared" si="14"/>
        <v>0</v>
      </c>
    </row>
    <row r="118" spans="1:7" ht="15.5" x14ac:dyDescent="0.35">
      <c r="A118" s="1">
        <v>117</v>
      </c>
      <c r="B118" s="2"/>
      <c r="C118" s="25">
        <v>2018</v>
      </c>
      <c r="D118" s="27">
        <f>27442690000000+485810000000+784992175000000+19681260000000+3321846000000+11643003000000</f>
        <v>847566784000000</v>
      </c>
      <c r="E118" s="28">
        <f>D118-D117</f>
        <v>127517136000000</v>
      </c>
      <c r="F118" s="7">
        <v>1212172890500000</v>
      </c>
      <c r="G118" s="1">
        <f t="shared" si="14"/>
        <v>0.10519715215492191</v>
      </c>
    </row>
    <row r="119" spans="1:7" ht="15.5" x14ac:dyDescent="0.35">
      <c r="A119" s="1">
        <v>118</v>
      </c>
      <c r="B119" s="2"/>
      <c r="C119" s="25">
        <v>2019</v>
      </c>
      <c r="D119" s="27">
        <f>34185258000000+210396000000+839067353000000+25021168000000+4104096000000+9346063000000</f>
        <v>911934334000000</v>
      </c>
      <c r="E119" s="28">
        <f t="shared" ref="E119:E121" si="25">D119-D118</f>
        <v>64367550000000</v>
      </c>
      <c r="F119" s="7">
        <v>1356828566000000</v>
      </c>
      <c r="G119" s="1">
        <f t="shared" si="14"/>
        <v>4.7439707279865746E-2</v>
      </c>
    </row>
    <row r="120" spans="1:7" ht="15.5" x14ac:dyDescent="0.35">
      <c r="A120" s="1">
        <v>119</v>
      </c>
      <c r="B120" s="2"/>
      <c r="C120" s="25">
        <v>2020</v>
      </c>
      <c r="D120" s="27">
        <f>26246814000000+1576659000000+834293205000000+37466184000000+3406164000000+6271176000000</f>
        <v>909260202000000</v>
      </c>
      <c r="E120" s="28">
        <f t="shared" si="25"/>
        <v>-2674132000000</v>
      </c>
      <c r="F120" s="7">
        <v>1513412092000000</v>
      </c>
      <c r="G120" s="1">
        <f t="shared" si="14"/>
        <v>-1.7669556191176514E-3</v>
      </c>
    </row>
    <row r="121" spans="1:7" ht="15.5" x14ac:dyDescent="0.35">
      <c r="A121" s="1">
        <v>120</v>
      </c>
      <c r="B121" s="2"/>
      <c r="C121" s="25">
        <v>2021</v>
      </c>
      <c r="D121" s="27">
        <f>28521876000000+730083000000+909582789000000+7748594000000+37706653000000+9066005000000</f>
        <v>993356000000000</v>
      </c>
      <c r="E121" s="28">
        <f t="shared" si="25"/>
        <v>84095798000000</v>
      </c>
      <c r="F121" s="7">
        <v>1644081539000000</v>
      </c>
      <c r="G121" s="1">
        <f t="shared" si="14"/>
        <v>5.1150624835280753E-2</v>
      </c>
    </row>
    <row r="122" spans="1:7" ht="15.5" x14ac:dyDescent="0.35">
      <c r="A122" s="1">
        <v>121</v>
      </c>
      <c r="B122" s="2" t="s">
        <v>82</v>
      </c>
      <c r="C122" s="25">
        <v>2017</v>
      </c>
      <c r="D122" s="27">
        <v>3788185809481</v>
      </c>
      <c r="E122" s="9"/>
      <c r="F122" s="7">
        <v>4925661715992.5</v>
      </c>
      <c r="G122" s="1">
        <f t="shared" si="14"/>
        <v>0</v>
      </c>
    </row>
    <row r="123" spans="1:7" ht="15.5" x14ac:dyDescent="0.35">
      <c r="A123" s="1">
        <v>122</v>
      </c>
      <c r="B123" s="2"/>
      <c r="C123" s="25">
        <v>2018</v>
      </c>
      <c r="D123" s="27">
        <v>3681321123146</v>
      </c>
      <c r="E123" s="28">
        <f>D123-D122</f>
        <v>-106864686335</v>
      </c>
      <c r="F123" s="7">
        <v>4769262082390.5</v>
      </c>
      <c r="G123" s="1">
        <f t="shared" si="14"/>
        <v>-2.2406964534319774E-2</v>
      </c>
    </row>
    <row r="124" spans="1:7" ht="15.5" x14ac:dyDescent="0.35">
      <c r="A124" s="1">
        <v>123</v>
      </c>
      <c r="B124" s="2"/>
      <c r="C124" s="25">
        <v>2019</v>
      </c>
      <c r="D124" s="27">
        <v>3660573684020</v>
      </c>
      <c r="E124" s="28">
        <f t="shared" ref="E124:E126" si="26">D124-D123</f>
        <v>-20747439126</v>
      </c>
      <c r="F124" s="7">
        <v>4828731897869.5</v>
      </c>
      <c r="G124" s="1">
        <f t="shared" si="14"/>
        <v>-4.2966641273155057E-3</v>
      </c>
    </row>
    <row r="125" spans="1:7" ht="15.5" x14ac:dyDescent="0.35">
      <c r="A125" s="1">
        <v>124</v>
      </c>
      <c r="B125" s="2"/>
      <c r="C125" s="25">
        <v>2020</v>
      </c>
      <c r="D125" s="27">
        <v>3562338771925</v>
      </c>
      <c r="E125" s="28">
        <f t="shared" si="26"/>
        <v>-98234912095</v>
      </c>
      <c r="F125" s="7">
        <v>5272529523777.5</v>
      </c>
      <c r="G125" s="1">
        <f t="shared" si="14"/>
        <v>-1.863145794670101E-2</v>
      </c>
    </row>
    <row r="126" spans="1:7" ht="15.5" x14ac:dyDescent="0.35">
      <c r="A126" s="1">
        <v>125</v>
      </c>
      <c r="B126" s="2"/>
      <c r="C126" s="25">
        <v>2021</v>
      </c>
      <c r="D126" s="27">
        <v>4174843399023</v>
      </c>
      <c r="E126" s="28">
        <f t="shared" si="26"/>
        <v>612504627098</v>
      </c>
      <c r="F126" s="7">
        <v>8379566541410.5</v>
      </c>
      <c r="G126" s="1">
        <f t="shared" si="14"/>
        <v>7.3095025150895152E-2</v>
      </c>
    </row>
    <row r="127" spans="1:7" ht="15.5" x14ac:dyDescent="0.35">
      <c r="A127" s="1">
        <v>126</v>
      </c>
      <c r="B127" s="2" t="s">
        <v>83</v>
      </c>
      <c r="C127" s="25">
        <v>2017</v>
      </c>
      <c r="D127" s="27">
        <f>1429038000000+13246000000</f>
        <v>1442284000000</v>
      </c>
      <c r="E127" s="9"/>
      <c r="F127" s="7">
        <v>2741217000000</v>
      </c>
      <c r="G127" s="1">
        <f t="shared" si="14"/>
        <v>0</v>
      </c>
    </row>
    <row r="128" spans="1:7" ht="15.5" x14ac:dyDescent="0.35">
      <c r="A128" s="1">
        <v>127</v>
      </c>
      <c r="B128" s="2"/>
      <c r="C128" s="25">
        <v>2018</v>
      </c>
      <c r="D128" s="27">
        <f>1724614000000+17509000000</f>
        <v>1742123000000</v>
      </c>
      <c r="E128" s="28">
        <f>D128-D127</f>
        <v>299839000000</v>
      </c>
      <c r="F128" s="7">
        <v>3488759500000</v>
      </c>
      <c r="G128" s="1">
        <f t="shared" si="14"/>
        <v>8.5944301978969892E-2</v>
      </c>
    </row>
    <row r="129" spans="1:7" ht="15.5" x14ac:dyDescent="0.35">
      <c r="A129" s="1">
        <v>128</v>
      </c>
      <c r="B129" s="2"/>
      <c r="C129" s="25">
        <v>2019</v>
      </c>
      <c r="D129" s="27">
        <f>2460021000000+16833000000</f>
        <v>2476854000000</v>
      </c>
      <c r="E129" s="28">
        <f t="shared" ref="E129:E131" si="27">D129-D128</f>
        <v>734731000000</v>
      </c>
      <c r="F129" s="7">
        <v>4558301500000</v>
      </c>
      <c r="G129" s="1">
        <f t="shared" si="14"/>
        <v>0.16118525727181496</v>
      </c>
    </row>
    <row r="130" spans="1:7" ht="15.5" x14ac:dyDescent="0.35">
      <c r="A130" s="1">
        <v>129</v>
      </c>
      <c r="B130" s="2"/>
      <c r="C130" s="25">
        <v>2020</v>
      </c>
      <c r="D130" s="27">
        <f>2827850000000+41975000000</f>
        <v>2869825000000</v>
      </c>
      <c r="E130" s="28">
        <f t="shared" si="27"/>
        <v>392971000000</v>
      </c>
      <c r="F130" s="7">
        <v>6850057000000</v>
      </c>
      <c r="G130" s="1">
        <f t="shared" si="14"/>
        <v>5.7367551832050445E-2</v>
      </c>
    </row>
    <row r="131" spans="1:7" ht="15.5" x14ac:dyDescent="0.35">
      <c r="A131" s="1">
        <v>130</v>
      </c>
      <c r="B131" s="2"/>
      <c r="C131" s="25">
        <v>2021</v>
      </c>
      <c r="D131" s="27">
        <f>3566156000000+31290000000+310000000+57202000000</f>
        <v>3654958000000</v>
      </c>
      <c r="E131" s="28">
        <f t="shared" si="27"/>
        <v>785133000000</v>
      </c>
      <c r="F131" s="7">
        <v>11746767500000</v>
      </c>
      <c r="G131" s="1">
        <f t="shared" ref="G131:G176" si="28">E131/F131</f>
        <v>6.6838217407469758E-2</v>
      </c>
    </row>
    <row r="132" spans="1:7" ht="15.5" x14ac:dyDescent="0.35">
      <c r="A132" s="1">
        <v>131</v>
      </c>
      <c r="B132" s="2" t="s">
        <v>84</v>
      </c>
      <c r="C132" s="25">
        <v>2017</v>
      </c>
      <c r="D132" s="27">
        <f>40527000000+30360407000000</f>
        <v>30400934000000</v>
      </c>
      <c r="E132" s="9"/>
      <c r="F132" s="7">
        <v>47275765500000</v>
      </c>
      <c r="G132" s="1">
        <f t="shared" si="28"/>
        <v>0</v>
      </c>
    </row>
    <row r="133" spans="1:7" ht="15.5" x14ac:dyDescent="0.35">
      <c r="A133" s="1">
        <v>132</v>
      </c>
      <c r="B133" s="2"/>
      <c r="C133" s="25">
        <v>2018</v>
      </c>
      <c r="D133" s="27">
        <f>34069000000+32694687000000</f>
        <v>32728756000000</v>
      </c>
      <c r="E133" s="28">
        <f>D133-D132</f>
        <v>2327822000000</v>
      </c>
      <c r="F133" s="7">
        <v>57103849500000</v>
      </c>
      <c r="G133" s="1">
        <f t="shared" si="28"/>
        <v>4.0764712368471762E-2</v>
      </c>
    </row>
    <row r="134" spans="1:7" ht="15.5" x14ac:dyDescent="0.35">
      <c r="A134" s="1">
        <v>133</v>
      </c>
      <c r="B134" s="2"/>
      <c r="C134" s="25">
        <v>2019</v>
      </c>
      <c r="D134" s="27">
        <f>5837520000000+81265000000+37372166000000</f>
        <v>43290951000000</v>
      </c>
      <c r="E134" s="28">
        <f t="shared" ref="E134:E136" si="29">D134-D133</f>
        <v>10562195000000</v>
      </c>
      <c r="F134" s="7">
        <v>69722715500000</v>
      </c>
      <c r="G134" s="1">
        <f t="shared" si="28"/>
        <v>0.15148857763579218</v>
      </c>
    </row>
    <row r="135" spans="1:7" ht="15.5" x14ac:dyDescent="0.35">
      <c r="A135" s="1">
        <v>134</v>
      </c>
      <c r="B135" s="2"/>
      <c r="C135" s="25">
        <v>2020</v>
      </c>
      <c r="D135" s="27">
        <f>12573044000000+131932000000+40026045000000</f>
        <v>52731021000000</v>
      </c>
      <c r="E135" s="28">
        <f t="shared" si="29"/>
        <v>9440070000000</v>
      </c>
      <c r="F135" s="7">
        <v>80187882500000</v>
      </c>
      <c r="G135" s="1">
        <f t="shared" si="28"/>
        <v>0.11772439557809748</v>
      </c>
    </row>
    <row r="136" spans="1:7" ht="15.5" x14ac:dyDescent="0.35">
      <c r="A136" s="1">
        <v>135</v>
      </c>
      <c r="B136" s="2"/>
      <c r="C136" s="25">
        <v>2021</v>
      </c>
      <c r="D136" s="27">
        <f>3420685000000+230019000000+40918142000000</f>
        <v>44568846000000</v>
      </c>
      <c r="E136" s="28">
        <f t="shared" si="29"/>
        <v>-8162175000000</v>
      </c>
      <c r="F136" s="7">
        <v>92171391000000</v>
      </c>
      <c r="G136" s="1">
        <f t="shared" si="28"/>
        <v>-8.8554321589873808E-2</v>
      </c>
    </row>
    <row r="137" spans="1:7" ht="15.5" x14ac:dyDescent="0.35">
      <c r="A137" s="1">
        <v>136</v>
      </c>
      <c r="B137" s="2" t="s">
        <v>85</v>
      </c>
      <c r="C137" s="25">
        <v>2017</v>
      </c>
      <c r="D137" s="27">
        <f>24090128000000+2629315000000+817292000000+678292520000000+14782332000000+12290260000000</f>
        <v>732901847000000</v>
      </c>
      <c r="E137" s="9"/>
      <c r="F137" s="7">
        <v>1081703428000000</v>
      </c>
      <c r="G137" s="1">
        <f t="shared" si="28"/>
        <v>0</v>
      </c>
    </row>
    <row r="138" spans="1:7" ht="15.5" x14ac:dyDescent="0.35">
      <c r="A138" s="1">
        <v>137</v>
      </c>
      <c r="B138" s="2"/>
      <c r="C138" s="25">
        <v>2018</v>
      </c>
      <c r="D138" s="27">
        <f>24809459000000+2097629000000+1798557000000+767761095000000+16826865000000+13592409000000</f>
        <v>826886014000000</v>
      </c>
      <c r="E138" s="28">
        <f>D138-D137</f>
        <v>93984167000000</v>
      </c>
      <c r="F138" s="7">
        <v>1163476470500000</v>
      </c>
      <c r="G138" s="1">
        <f t="shared" si="28"/>
        <v>8.0778743174419868E-2</v>
      </c>
    </row>
    <row r="139" spans="1:7" ht="15.5" x14ac:dyDescent="0.35">
      <c r="A139" s="1">
        <v>138</v>
      </c>
      <c r="B139" s="2"/>
      <c r="C139" s="25">
        <v>2019</v>
      </c>
      <c r="D139" s="27">
        <f>29104111000000+1955363000000+1617476000000+855846844000000+18211088000000+10058035000000</f>
        <v>916792917000000</v>
      </c>
      <c r="E139" s="28">
        <f t="shared" ref="E139:E141" si="30">D139-D138</f>
        <v>89906903000000</v>
      </c>
      <c r="F139" s="7">
        <v>1260249214500000</v>
      </c>
      <c r="G139" s="1">
        <f t="shared" si="28"/>
        <v>7.1340574519358296E-2</v>
      </c>
    </row>
    <row r="140" spans="1:7" ht="15.5" x14ac:dyDescent="0.35">
      <c r="A140" s="1">
        <v>139</v>
      </c>
      <c r="B140" s="2"/>
      <c r="C140" s="25">
        <v>2020</v>
      </c>
      <c r="D140" s="27">
        <f>28308088000000+55094456000000+2578947000000+807874363000000+18649899000000</f>
        <v>912505753000000</v>
      </c>
      <c r="E140" s="28">
        <f t="shared" si="30"/>
        <v>-4287164000000</v>
      </c>
      <c r="F140" s="7">
        <v>1373790409500000</v>
      </c>
      <c r="G140" s="1">
        <f t="shared" si="28"/>
        <v>-3.1206827259482334E-3</v>
      </c>
    </row>
    <row r="141" spans="1:7" ht="15.5" x14ac:dyDescent="0.35">
      <c r="A141" s="1">
        <v>140</v>
      </c>
      <c r="B141" s="2"/>
      <c r="C141" s="25">
        <v>2021</v>
      </c>
      <c r="D141" s="27">
        <f>27817547000000+27317000000000+1669838000000+957636147000000+18633307000000</f>
        <v>1033073839000000</v>
      </c>
      <c r="E141" s="28">
        <f t="shared" si="30"/>
        <v>120568086000000</v>
      </c>
      <c r="F141" s="7">
        <v>1577472806000000</v>
      </c>
      <c r="G141" s="1">
        <f t="shared" si="28"/>
        <v>7.6431166066009512E-2</v>
      </c>
    </row>
    <row r="142" spans="1:7" ht="15.5" x14ac:dyDescent="0.35">
      <c r="A142" s="1">
        <v>141</v>
      </c>
      <c r="B142" s="2" t="s">
        <v>86</v>
      </c>
      <c r="C142" s="25">
        <v>2017</v>
      </c>
      <c r="D142" s="27">
        <f>4483064073038+6332909437</f>
        <v>4489396982475</v>
      </c>
      <c r="E142" s="9"/>
      <c r="F142" s="7">
        <v>7067925334277.5</v>
      </c>
      <c r="G142" s="1">
        <f t="shared" si="28"/>
        <v>0</v>
      </c>
    </row>
    <row r="143" spans="1:7" ht="15.5" x14ac:dyDescent="0.35">
      <c r="A143" s="1">
        <v>142</v>
      </c>
      <c r="B143" s="2"/>
      <c r="C143" s="25">
        <v>2018</v>
      </c>
      <c r="D143" s="27">
        <f>4721857645245+17870621371</f>
        <v>4739728266616</v>
      </c>
      <c r="E143" s="28">
        <f>D143-D142</f>
        <v>250331284141</v>
      </c>
      <c r="F143" s="7">
        <v>7155975401435.5</v>
      </c>
      <c r="G143" s="1">
        <f t="shared" si="28"/>
        <v>3.4982133126223877E-2</v>
      </c>
    </row>
    <row r="144" spans="1:7" ht="15.5" x14ac:dyDescent="0.35">
      <c r="A144" s="1">
        <v>143</v>
      </c>
      <c r="B144" s="2"/>
      <c r="C144" s="25">
        <v>2019</v>
      </c>
      <c r="D144" s="27">
        <f>5120108183470+12547769814</f>
        <v>5132655953284</v>
      </c>
      <c r="E144" s="28">
        <f t="shared" ref="E144:E146" si="31">D144-D143</f>
        <v>392927686668</v>
      </c>
      <c r="F144" s="7">
        <v>7452463591318</v>
      </c>
      <c r="G144" s="1">
        <f t="shared" si="28"/>
        <v>5.2724536236011192E-2</v>
      </c>
    </row>
    <row r="145" spans="1:7" ht="15.5" x14ac:dyDescent="0.35">
      <c r="A145" s="1">
        <v>144</v>
      </c>
      <c r="B145" s="2"/>
      <c r="C145" s="25">
        <v>2020</v>
      </c>
      <c r="D145" s="27">
        <f>4510056924861+9240910643</f>
        <v>4519297835504</v>
      </c>
      <c r="E145" s="28">
        <f t="shared" si="31"/>
        <v>-613358117780</v>
      </c>
      <c r="F145" s="7">
        <v>7622589020615</v>
      </c>
      <c r="G145" s="1">
        <f t="shared" si="28"/>
        <v>-8.0465851710120592E-2</v>
      </c>
    </row>
    <row r="146" spans="1:7" ht="15.5" x14ac:dyDescent="0.35">
      <c r="A146" s="1">
        <v>145</v>
      </c>
      <c r="B146" s="2"/>
      <c r="C146" s="25">
        <v>2021</v>
      </c>
      <c r="D146" s="27">
        <f>3894587892160+8729683976</f>
        <v>3903317576136</v>
      </c>
      <c r="E146" s="28">
        <f t="shared" si="31"/>
        <v>-615980259368</v>
      </c>
      <c r="F146" s="7">
        <v>8152025077227</v>
      </c>
      <c r="G146" s="1">
        <f t="shared" si="28"/>
        <v>-7.5561624692343607E-2</v>
      </c>
    </row>
    <row r="147" spans="1:7" ht="15.5" x14ac:dyDescent="0.35">
      <c r="A147" s="1">
        <v>146</v>
      </c>
      <c r="B147" s="2" t="s">
        <v>87</v>
      </c>
      <c r="C147" s="25">
        <v>2017</v>
      </c>
      <c r="D147" s="27">
        <f>10620505121000+55591193000</f>
        <v>10676096314000</v>
      </c>
      <c r="E147" s="9"/>
      <c r="F147" s="7">
        <v>13850277046500</v>
      </c>
      <c r="G147" s="1">
        <f t="shared" si="28"/>
        <v>0</v>
      </c>
    </row>
    <row r="148" spans="1:7" ht="15.5" x14ac:dyDescent="0.35">
      <c r="A148" s="1">
        <v>147</v>
      </c>
      <c r="B148" s="2"/>
      <c r="C148" s="25">
        <v>2018</v>
      </c>
      <c r="D148" s="27">
        <f>35620000+15219719856000+59497144000</f>
        <v>15279252620000</v>
      </c>
      <c r="E148" s="28">
        <f>D148-D147</f>
        <v>4603156306000</v>
      </c>
      <c r="F148" s="7">
        <v>19818132312000</v>
      </c>
      <c r="G148" s="1">
        <f t="shared" si="28"/>
        <v>0.23226993510446797</v>
      </c>
    </row>
    <row r="149" spans="1:7" ht="15.5" x14ac:dyDescent="0.35">
      <c r="A149" s="1">
        <v>148</v>
      </c>
      <c r="B149" s="2"/>
      <c r="C149" s="25">
        <v>2019</v>
      </c>
      <c r="D149" s="27">
        <f>159250000+18532525500000</f>
        <v>18532684750000</v>
      </c>
      <c r="E149" s="28">
        <f t="shared" ref="E149:E151" si="32">D149-D148</f>
        <v>3253432130000</v>
      </c>
      <c r="F149" s="7">
        <v>25190797082000</v>
      </c>
      <c r="G149" s="1">
        <f t="shared" si="28"/>
        <v>0.12915161514776874</v>
      </c>
    </row>
    <row r="150" spans="1:7" ht="15.5" x14ac:dyDescent="0.35">
      <c r="A150" s="1">
        <v>149</v>
      </c>
      <c r="B150" s="2"/>
      <c r="C150" s="25">
        <v>2020</v>
      </c>
      <c r="D150" s="27">
        <f>23707929000+18485568543000</f>
        <v>18509276472000</v>
      </c>
      <c r="E150" s="28">
        <f t="shared" si="32"/>
        <v>-23408278000</v>
      </c>
      <c r="F150" s="7">
        <v>27541707587000</v>
      </c>
      <c r="G150" s="1">
        <f t="shared" si="28"/>
        <v>-8.4992108517806546E-4</v>
      </c>
    </row>
    <row r="151" spans="1:7" ht="15.5" x14ac:dyDescent="0.35">
      <c r="A151" s="1">
        <v>150</v>
      </c>
      <c r="B151" s="2"/>
      <c r="C151" s="25">
        <v>2021</v>
      </c>
      <c r="D151" s="27">
        <f>9732925555000+92449283000</f>
        <v>9825374838000</v>
      </c>
      <c r="E151" s="28">
        <f t="shared" si="32"/>
        <v>-8683901634000</v>
      </c>
      <c r="F151" s="7">
        <v>22441007458500</v>
      </c>
      <c r="G151" s="1">
        <f t="shared" si="28"/>
        <v>-0.38696576568850927</v>
      </c>
    </row>
    <row r="152" spans="1:7" ht="15.5" x14ac:dyDescent="0.35">
      <c r="A152" s="1">
        <v>151</v>
      </c>
      <c r="B152" s="2" t="s">
        <v>88</v>
      </c>
      <c r="C152" s="25">
        <v>2017</v>
      </c>
      <c r="D152" s="27">
        <f>18365482000000+185015000000</f>
        <v>18550497000000</v>
      </c>
      <c r="E152" s="9"/>
      <c r="F152" s="7">
        <v>30798352000000</v>
      </c>
      <c r="G152" s="1">
        <f t="shared" si="28"/>
        <v>0</v>
      </c>
    </row>
    <row r="153" spans="1:7" ht="15.5" x14ac:dyDescent="0.35">
      <c r="A153" s="1">
        <v>152</v>
      </c>
      <c r="B153" s="2"/>
      <c r="C153" s="25">
        <v>2018</v>
      </c>
      <c r="D153" s="27">
        <f>19214056000000+243250000000</f>
        <v>19457306000000</v>
      </c>
      <c r="E153" s="28">
        <f>D153-D152</f>
        <v>906809000000</v>
      </c>
      <c r="F153" s="7">
        <v>30576410000000</v>
      </c>
      <c r="G153" s="1">
        <f t="shared" si="28"/>
        <v>2.9657144184029451E-2</v>
      </c>
    </row>
    <row r="154" spans="1:7" ht="15.5" x14ac:dyDescent="0.35">
      <c r="A154" s="1">
        <v>153</v>
      </c>
      <c r="B154" s="2"/>
      <c r="C154" s="25">
        <v>2019</v>
      </c>
      <c r="D154" s="27">
        <f>21314497000000+265212000000+318345000000</f>
        <v>21898054000000</v>
      </c>
      <c r="E154" s="28">
        <f t="shared" ref="E154:E156" si="33">D154-D153</f>
        <v>2440748000000</v>
      </c>
      <c r="F154" s="7">
        <v>33654149000000</v>
      </c>
      <c r="G154" s="1">
        <f t="shared" si="28"/>
        <v>7.2524430791579372E-2</v>
      </c>
    </row>
    <row r="155" spans="1:7" ht="15.5" x14ac:dyDescent="0.35">
      <c r="A155" s="1">
        <v>154</v>
      </c>
      <c r="B155" s="2"/>
      <c r="C155" s="25">
        <v>2020</v>
      </c>
      <c r="D155" s="27">
        <f>18878373000000+153577000000</f>
        <v>19031950000000</v>
      </c>
      <c r="E155" s="28">
        <f t="shared" si="33"/>
        <v>-2866104000000</v>
      </c>
      <c r="F155" s="7">
        <v>40585800500000</v>
      </c>
      <c r="G155" s="1">
        <f t="shared" si="28"/>
        <v>-7.0618392755367729E-2</v>
      </c>
    </row>
    <row r="156" spans="1:7" ht="15.5" x14ac:dyDescent="0.35">
      <c r="A156" s="1">
        <v>155</v>
      </c>
      <c r="B156" s="2"/>
      <c r="C156" s="25">
        <v>2021</v>
      </c>
      <c r="D156" s="27">
        <f>16313869000000+247165000000</f>
        <v>16561034000000</v>
      </c>
      <c r="E156" s="28">
        <f t="shared" si="33"/>
        <v>-2470916000000</v>
      </c>
      <c r="F156" s="7">
        <v>48439621550000</v>
      </c>
      <c r="G156" s="1">
        <f t="shared" si="28"/>
        <v>-5.1010225120142375E-2</v>
      </c>
    </row>
    <row r="157" spans="1:7" ht="15.5" x14ac:dyDescent="0.35">
      <c r="A157" s="1">
        <v>156</v>
      </c>
      <c r="B157" s="2" t="s">
        <v>89</v>
      </c>
      <c r="C157" s="25">
        <v>2017</v>
      </c>
      <c r="D157" s="27">
        <f>138000000+18067674000000+154519000000+30183000000</f>
        <v>18252514000000</v>
      </c>
      <c r="E157" s="9"/>
      <c r="F157" s="7">
        <v>26973473000000</v>
      </c>
      <c r="G157" s="1">
        <f t="shared" si="28"/>
        <v>0</v>
      </c>
    </row>
    <row r="158" spans="1:7" ht="15.5" x14ac:dyDescent="0.35">
      <c r="A158" s="1">
        <v>157</v>
      </c>
      <c r="B158" s="2"/>
      <c r="C158" s="25">
        <v>2018</v>
      </c>
      <c r="D158" s="27">
        <f>657000000+15076319000000+130071000000+35056000000</f>
        <v>15242103000000</v>
      </c>
      <c r="E158" s="28">
        <f>D158-D157</f>
        <v>-3010411000000</v>
      </c>
      <c r="F158" s="7">
        <v>26876098000000</v>
      </c>
      <c r="G158" s="1">
        <f t="shared" si="28"/>
        <v>-0.11201071673425213</v>
      </c>
    </row>
    <row r="159" spans="1:7" ht="15.5" x14ac:dyDescent="0.35">
      <c r="A159" s="1">
        <v>158</v>
      </c>
      <c r="B159" s="2"/>
      <c r="C159" s="25">
        <v>2019</v>
      </c>
      <c r="D159" s="27">
        <f>6910000000+13459487000000+131194000000+48409000000</f>
        <v>13646000000000</v>
      </c>
      <c r="E159" s="28">
        <f t="shared" ref="E159:E161" si="34">D159-D158</f>
        <v>-1596103000000</v>
      </c>
      <c r="F159" s="7">
        <v>25778614500000</v>
      </c>
      <c r="G159" s="1">
        <f t="shared" si="28"/>
        <v>-6.1915779065628215E-2</v>
      </c>
    </row>
    <row r="160" spans="1:7" ht="15.5" x14ac:dyDescent="0.35">
      <c r="A160" s="1">
        <v>159</v>
      </c>
      <c r="B160" s="2"/>
      <c r="C160" s="25">
        <v>2020</v>
      </c>
      <c r="D160" s="27">
        <f>11982582000000+291889000000+143978000000</f>
        <v>12418449000000</v>
      </c>
      <c r="E160" s="28">
        <f t="shared" si="34"/>
        <v>-1227551000000</v>
      </c>
      <c r="F160" s="7">
        <v>28029503000000</v>
      </c>
      <c r="G160" s="1">
        <f t="shared" si="28"/>
        <v>-4.3794961330566581E-2</v>
      </c>
    </row>
    <row r="161" spans="1:7" ht="15.5" x14ac:dyDescent="0.35">
      <c r="A161" s="1">
        <v>160</v>
      </c>
      <c r="B161" s="2"/>
      <c r="C161" s="25">
        <v>2021</v>
      </c>
      <c r="D161" s="27">
        <f>2049000000+10816904000000+344590000000+259213000000</f>
        <v>11422756000000</v>
      </c>
      <c r="E161" s="28">
        <f t="shared" si="34"/>
        <v>-995693000000</v>
      </c>
      <c r="F161" s="7">
        <v>28327392500000</v>
      </c>
      <c r="G161" s="1">
        <f t="shared" si="28"/>
        <v>-3.5149475900402766E-2</v>
      </c>
    </row>
    <row r="162" spans="1:7" ht="15.5" x14ac:dyDescent="0.35">
      <c r="A162" s="1">
        <v>161</v>
      </c>
      <c r="B162" s="2" t="s">
        <v>90</v>
      </c>
      <c r="C162" s="25">
        <v>2017</v>
      </c>
      <c r="D162" s="27">
        <f>9000000+16676000000+34748506000000+2378000000+604899000000</f>
        <v>35372468000000</v>
      </c>
      <c r="E162" s="9"/>
      <c r="F162" s="7">
        <v>76414346000000</v>
      </c>
      <c r="G162" s="1">
        <f t="shared" si="28"/>
        <v>0</v>
      </c>
    </row>
    <row r="163" spans="1:7" ht="15.5" x14ac:dyDescent="0.35">
      <c r="A163" s="1">
        <v>162</v>
      </c>
      <c r="B163" s="2"/>
      <c r="C163" s="25">
        <v>2018</v>
      </c>
      <c r="D163" s="27">
        <f>106182000000+41905659000000+720000000+701698000000</f>
        <v>42714259000000</v>
      </c>
      <c r="E163" s="28">
        <f>D163-D162</f>
        <v>7341791000000</v>
      </c>
      <c r="F163" s="7">
        <v>83029478000000</v>
      </c>
      <c r="G163" s="1">
        <f t="shared" si="28"/>
        <v>8.8423908915819027E-2</v>
      </c>
    </row>
    <row r="164" spans="1:7" ht="15.5" x14ac:dyDescent="0.35">
      <c r="A164" s="1">
        <v>163</v>
      </c>
      <c r="B164" s="2"/>
      <c r="C164" s="25">
        <v>2019</v>
      </c>
      <c r="D164" s="27">
        <f>74969000000+52734828000000+687759000000</f>
        <v>53497556000000</v>
      </c>
      <c r="E164" s="28">
        <f t="shared" ref="E164:E166" si="35">D164-D163</f>
        <v>10783297000000</v>
      </c>
      <c r="F164" s="7">
        <v>92282888500000</v>
      </c>
      <c r="G164" s="1">
        <f t="shared" si="28"/>
        <v>0.1168504494741731</v>
      </c>
    </row>
    <row r="165" spans="1:7" ht="15.5" x14ac:dyDescent="0.35">
      <c r="A165" s="1">
        <v>164</v>
      </c>
      <c r="B165" s="2"/>
      <c r="C165" s="25">
        <v>2020</v>
      </c>
      <c r="D165" s="27">
        <f>110860000000+48027075000000+661138000000</f>
        <v>48799073000000</v>
      </c>
      <c r="E165" s="28">
        <f t="shared" si="35"/>
        <v>-4698483000000</v>
      </c>
      <c r="F165" s="7">
        <v>106503242000000</v>
      </c>
      <c r="G165" s="1">
        <f t="shared" si="28"/>
        <v>-4.41158683225812E-2</v>
      </c>
    </row>
    <row r="166" spans="1:7" ht="15.5" x14ac:dyDescent="0.35">
      <c r="A166" s="1">
        <v>165</v>
      </c>
      <c r="B166" s="2"/>
      <c r="C166" s="25">
        <v>2021</v>
      </c>
      <c r="D166" s="27">
        <f>50532000000+60170276000000+525392000000</f>
        <v>60746200000000</v>
      </c>
      <c r="E166" s="28">
        <f t="shared" si="35"/>
        <v>11947127000000</v>
      </c>
      <c r="F166" s="7">
        <v>122541021500000</v>
      </c>
      <c r="G166" s="1">
        <f t="shared" si="28"/>
        <v>9.749491928300924E-2</v>
      </c>
    </row>
    <row r="167" spans="1:7" ht="15.5" x14ac:dyDescent="0.35">
      <c r="A167" s="1">
        <v>166</v>
      </c>
      <c r="B167" s="2" t="s">
        <v>91</v>
      </c>
      <c r="C167" s="25">
        <v>2017</v>
      </c>
      <c r="D167" s="27">
        <f>456039736000+126406554000+1934691828000+1250671000+7537014000</f>
        <v>2525925803000</v>
      </c>
      <c r="E167" s="9"/>
      <c r="F167" s="7">
        <v>2302286580000</v>
      </c>
      <c r="G167" s="1">
        <f t="shared" si="28"/>
        <v>0</v>
      </c>
    </row>
    <row r="168" spans="1:7" ht="15.5" x14ac:dyDescent="0.35">
      <c r="A168" s="1">
        <v>167</v>
      </c>
      <c r="B168" s="2"/>
      <c r="C168" s="25">
        <v>2018</v>
      </c>
      <c r="D168" s="27">
        <f>444217249000+243753932000+500983400000+809593881000+1530332000+6327483000</f>
        <v>2006406277000</v>
      </c>
      <c r="E168" s="28">
        <f>D168-D167</f>
        <v>-519519526000</v>
      </c>
      <c r="F168" s="7">
        <v>2751476020000</v>
      </c>
      <c r="G168" s="1">
        <f t="shared" si="28"/>
        <v>-0.18881484782120689</v>
      </c>
    </row>
    <row r="169" spans="1:7" ht="15.5" x14ac:dyDescent="0.35">
      <c r="A169" s="1">
        <v>168</v>
      </c>
      <c r="B169" s="2"/>
      <c r="C169" s="25">
        <v>2019</v>
      </c>
      <c r="D169" s="27">
        <f>547453519000+25288664000+1691641764000+12371724000+1839625000+12436017000</f>
        <v>2291031313000</v>
      </c>
      <c r="E169" s="28">
        <f t="shared" ref="E169:E171" si="36">D169-D168</f>
        <v>284625036000</v>
      </c>
      <c r="F169" s="7">
        <v>2759583114000</v>
      </c>
      <c r="G169" s="1">
        <f t="shared" si="28"/>
        <v>0.10314059198145971</v>
      </c>
    </row>
    <row r="170" spans="1:7" ht="15.5" x14ac:dyDescent="0.35">
      <c r="A170" s="1">
        <v>169</v>
      </c>
      <c r="B170" s="2"/>
      <c r="C170" s="25">
        <v>2020</v>
      </c>
      <c r="D170" s="27">
        <f>375952179000+67944379000+5879217000+1352437224000+10446741000+44613597000</f>
        <v>1857273337000</v>
      </c>
      <c r="E170" s="28">
        <f t="shared" si="36"/>
        <v>-433757976000</v>
      </c>
      <c r="F170" s="7">
        <v>2863472596500</v>
      </c>
      <c r="G170" s="1">
        <f t="shared" si="28"/>
        <v>-0.15147970213864764</v>
      </c>
    </row>
    <row r="171" spans="1:7" ht="15.5" x14ac:dyDescent="0.35">
      <c r="A171" s="1">
        <v>170</v>
      </c>
      <c r="B171" s="2"/>
      <c r="C171" s="25">
        <v>2021</v>
      </c>
      <c r="D171" s="27">
        <f>325010001000+150215858000+33284918000+358453113000+13469727000+987116000+38585882000</f>
        <v>920006615000</v>
      </c>
      <c r="E171" s="28">
        <f t="shared" si="36"/>
        <v>-937266722000</v>
      </c>
      <c r="F171" s="7">
        <v>2248115216500</v>
      </c>
      <c r="G171" s="1">
        <f t="shared" si="28"/>
        <v>-0.41691222723859894</v>
      </c>
    </row>
    <row r="172" spans="1:7" ht="15.5" x14ac:dyDescent="0.35">
      <c r="A172" s="1">
        <v>171</v>
      </c>
      <c r="B172" s="2" t="s">
        <v>92</v>
      </c>
      <c r="C172" s="25">
        <v>2017</v>
      </c>
      <c r="D172" s="27">
        <f>291131000000+102189794000000+3998241000000</f>
        <v>106479166000000</v>
      </c>
      <c r="E172" s="9"/>
      <c r="F172" s="7">
        <v>145985149000000</v>
      </c>
      <c r="G172" s="1">
        <f t="shared" si="28"/>
        <v>0</v>
      </c>
    </row>
    <row r="173" spans="1:7" x14ac:dyDescent="0.35">
      <c r="A173" s="1">
        <v>172</v>
      </c>
      <c r="B173" s="9"/>
      <c r="C173" s="25">
        <v>2018</v>
      </c>
      <c r="D173" s="27">
        <f>552448000000+113490896000000+4698548000000</f>
        <v>118741892000000</v>
      </c>
      <c r="E173" s="28">
        <f>D173-D172</f>
        <v>12262726000000</v>
      </c>
      <c r="F173" s="7">
        <v>163678425500000</v>
      </c>
      <c r="G173" s="1">
        <f t="shared" si="28"/>
        <v>7.4919623417320808E-2</v>
      </c>
    </row>
    <row r="174" spans="1:7" x14ac:dyDescent="0.35">
      <c r="A174" s="1">
        <v>173</v>
      </c>
      <c r="B174" s="9"/>
      <c r="C174" s="25">
        <v>2019</v>
      </c>
      <c r="D174" s="27">
        <f>740180000000+114436825000000+3370820000000</f>
        <v>118547825000000</v>
      </c>
      <c r="E174" s="28">
        <f t="shared" ref="E174:E176" si="37">D174-D173</f>
        <v>-194067000000</v>
      </c>
      <c r="F174" s="7">
        <v>177144940500000</v>
      </c>
      <c r="G174" s="1">
        <f t="shared" si="28"/>
        <v>-1.0955266317640045E-3</v>
      </c>
    </row>
    <row r="175" spans="1:7" x14ac:dyDescent="0.35">
      <c r="A175" s="1">
        <v>174</v>
      </c>
      <c r="B175" s="9"/>
      <c r="C175" s="25">
        <v>2020</v>
      </c>
      <c r="D175" s="27">
        <f>893765000000+109737912000000+3548551000000</f>
        <v>114180228000000</v>
      </c>
      <c r="E175" s="28">
        <f t="shared" si="37"/>
        <v>-4367597000000</v>
      </c>
      <c r="F175" s="7">
        <v>193502093500000</v>
      </c>
      <c r="G175" s="1">
        <f t="shared" si="28"/>
        <v>-2.2571316521699546E-2</v>
      </c>
    </row>
    <row r="176" spans="1:7" x14ac:dyDescent="0.35">
      <c r="A176" s="1">
        <v>175</v>
      </c>
      <c r="B176" s="9"/>
      <c r="C176" s="25">
        <v>2021</v>
      </c>
      <c r="D176" s="27">
        <f>481785000000+113228691000000+3491367000000</f>
        <v>117201843000000</v>
      </c>
      <c r="E176" s="28">
        <f t="shared" si="37"/>
        <v>3021615000000</v>
      </c>
      <c r="F176" s="7">
        <v>210346404000000</v>
      </c>
      <c r="G176" s="1">
        <f t="shared" si="28"/>
        <v>1.4364947260995249E-2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B8221-D549-4BA5-ABA6-EB3C2FC88261}">
  <dimension ref="C1:J176"/>
  <sheetViews>
    <sheetView topLeftCell="D1" workbookViewId="0">
      <selection activeCell="J4" sqref="J4"/>
    </sheetView>
  </sheetViews>
  <sheetFormatPr defaultRowHeight="14.5" x14ac:dyDescent="0.35"/>
  <cols>
    <col min="4" max="4" width="11.26953125" bestFit="1" customWidth="1"/>
    <col min="5" max="5" width="6.08984375" bestFit="1" customWidth="1"/>
    <col min="6" max="6" width="21.6328125" style="5" bestFit="1" customWidth="1"/>
    <col min="7" max="7" width="20.26953125" style="5" bestFit="1" customWidth="1"/>
    <col min="8" max="8" width="21.7265625" style="5" bestFit="1" customWidth="1"/>
    <col min="9" max="9" width="20.6328125" style="5" bestFit="1" customWidth="1"/>
    <col min="10" max="10" width="10.90625" bestFit="1" customWidth="1"/>
  </cols>
  <sheetData>
    <row r="1" spans="3:10" x14ac:dyDescent="0.35">
      <c r="C1" s="1" t="s">
        <v>0</v>
      </c>
      <c r="D1" s="1" t="s">
        <v>1</v>
      </c>
      <c r="E1" s="1" t="s">
        <v>2</v>
      </c>
      <c r="F1" s="6" t="s">
        <v>29</v>
      </c>
      <c r="G1" s="6" t="s">
        <v>30</v>
      </c>
      <c r="H1" s="6" t="s">
        <v>31</v>
      </c>
      <c r="I1" s="6" t="s">
        <v>24</v>
      </c>
      <c r="J1" s="6" t="s">
        <v>37</v>
      </c>
    </row>
    <row r="2" spans="3:10" x14ac:dyDescent="0.35">
      <c r="C2" s="1">
        <v>1</v>
      </c>
      <c r="D2" s="1" t="s">
        <v>3</v>
      </c>
      <c r="E2" s="1">
        <v>2017</v>
      </c>
      <c r="F2" s="7">
        <v>174285978503</v>
      </c>
      <c r="G2" s="7">
        <v>0</v>
      </c>
      <c r="H2" s="6">
        <f>76508107097+14346522792+751105407+13696137698</f>
        <v>105301872994</v>
      </c>
      <c r="I2" s="1">
        <v>0</v>
      </c>
      <c r="J2" s="9">
        <f>(G2/F2)-(I2/H2)</f>
        <v>0</v>
      </c>
    </row>
    <row r="3" spans="3:10" ht="15.5" x14ac:dyDescent="0.35">
      <c r="C3" s="1">
        <v>2</v>
      </c>
      <c r="D3" s="2" t="s">
        <v>3</v>
      </c>
      <c r="E3" s="1">
        <v>2018</v>
      </c>
      <c r="F3" s="7">
        <f>163165384062</f>
        <v>163165384062</v>
      </c>
      <c r="G3" s="7">
        <f>F3-F2</f>
        <v>-11120594441</v>
      </c>
      <c r="H3" s="10">
        <f>83935111290+13126436678+903019323+11339863183</f>
        <v>109304430474</v>
      </c>
      <c r="I3" s="11">
        <f>H3-H2</f>
        <v>4002557480</v>
      </c>
      <c r="J3" s="9">
        <f t="shared" ref="J3:J66" si="0">(G3/F3)-(I3/H3)</f>
        <v>-0.1047737912907353</v>
      </c>
    </row>
    <row r="4" spans="3:10" ht="15.5" x14ac:dyDescent="0.35">
      <c r="C4" s="1">
        <v>3</v>
      </c>
      <c r="D4" s="2" t="s">
        <v>3</v>
      </c>
      <c r="E4" s="1">
        <v>2019</v>
      </c>
      <c r="F4" s="7">
        <v>152809529035</v>
      </c>
      <c r="G4" s="7">
        <f>F4-F3</f>
        <v>-10355855027</v>
      </c>
      <c r="H4" s="10">
        <f>6105094632+62107180919+24373745095+861805626+5970752073+1924322503</f>
        <v>101342900848</v>
      </c>
      <c r="I4" s="11">
        <f>H4-H3</f>
        <v>-7961529626</v>
      </c>
      <c r="J4" s="9">
        <f t="shared" si="0"/>
        <v>1.0790615175273521E-2</v>
      </c>
    </row>
    <row r="5" spans="3:10" ht="15.5" x14ac:dyDescent="0.35">
      <c r="C5" s="1">
        <v>4</v>
      </c>
      <c r="D5" s="2" t="s">
        <v>3</v>
      </c>
      <c r="E5" s="1">
        <v>2020</v>
      </c>
      <c r="F5" s="7">
        <v>107091468350</v>
      </c>
      <c r="G5" s="7">
        <f t="shared" ref="G5:G6" si="1">F5-F4</f>
        <v>-45718060685</v>
      </c>
      <c r="H5" s="10">
        <f>10909190618+42582398713+43449304553+5670752073+3984951463</f>
        <v>106596597420</v>
      </c>
      <c r="I5" s="11">
        <f t="shared" ref="I5:I6" si="2">H5-H4</f>
        <v>5253696572</v>
      </c>
      <c r="J5" s="9">
        <f t="shared" si="0"/>
        <v>-0.47619243757763374</v>
      </c>
    </row>
    <row r="6" spans="3:10" ht="15.5" x14ac:dyDescent="0.35">
      <c r="C6" s="1">
        <v>5</v>
      </c>
      <c r="D6" s="2" t="s">
        <v>3</v>
      </c>
      <c r="E6" s="1">
        <v>2021</v>
      </c>
      <c r="F6" s="7">
        <v>115490756693</v>
      </c>
      <c r="G6" s="7">
        <f t="shared" si="1"/>
        <v>8399288343</v>
      </c>
      <c r="H6" s="10">
        <f>16585607499+52452053623+51368504280+732763300+4928158953+6746881380</f>
        <v>132813969035</v>
      </c>
      <c r="I6" s="11">
        <f t="shared" si="2"/>
        <v>26217371615</v>
      </c>
      <c r="J6" s="9">
        <f t="shared" si="0"/>
        <v>-0.12467227141946266</v>
      </c>
    </row>
    <row r="7" spans="3:10" ht="15.5" x14ac:dyDescent="0.35">
      <c r="C7" s="1">
        <v>6</v>
      </c>
      <c r="D7" s="2" t="s">
        <v>4</v>
      </c>
      <c r="E7" s="1">
        <v>2017</v>
      </c>
      <c r="F7" s="7">
        <v>58790955548</v>
      </c>
      <c r="G7" s="7"/>
      <c r="H7" s="10">
        <f>21755720+113476086563+13986354548+12174889005</f>
        <v>139659085836</v>
      </c>
      <c r="I7" s="9"/>
      <c r="J7" s="9">
        <f t="shared" si="0"/>
        <v>0</v>
      </c>
    </row>
    <row r="8" spans="3:10" x14ac:dyDescent="0.35">
      <c r="C8" s="1">
        <v>7</v>
      </c>
      <c r="D8" s="1" t="s">
        <v>4</v>
      </c>
      <c r="E8" s="1">
        <v>2018</v>
      </c>
      <c r="F8" s="7">
        <v>67042246193</v>
      </c>
      <c r="G8" s="7">
        <f>F8-F7</f>
        <v>8251290645</v>
      </c>
      <c r="H8" s="10">
        <f>5695950+141393596454+26280788985+12864574994</f>
        <v>180544656383</v>
      </c>
      <c r="I8" s="11">
        <f>H8-H7</f>
        <v>40885570547</v>
      </c>
      <c r="J8" s="9">
        <f t="shared" si="0"/>
        <v>-0.10338084257997403</v>
      </c>
    </row>
    <row r="9" spans="3:10" x14ac:dyDescent="0.35">
      <c r="C9" s="1">
        <v>8</v>
      </c>
      <c r="D9" s="1" t="s">
        <v>4</v>
      </c>
      <c r="E9" s="1">
        <v>2019</v>
      </c>
      <c r="F9" s="7">
        <v>73219691954</v>
      </c>
      <c r="G9" s="7">
        <f t="shared" ref="G9:G10" si="3">F9-F8</f>
        <v>6177445761</v>
      </c>
      <c r="H9" s="10">
        <f>11736375+107397784947+60102707851+8281893868</f>
        <v>175794123041</v>
      </c>
      <c r="I9" s="11">
        <f t="shared" ref="I9:I11" si="4">H9-H8</f>
        <v>-4750533342</v>
      </c>
      <c r="J9" s="9">
        <f t="shared" si="0"/>
        <v>0.11139191638063739</v>
      </c>
    </row>
    <row r="10" spans="3:10" x14ac:dyDescent="0.35">
      <c r="C10" s="1">
        <v>9</v>
      </c>
      <c r="D10" s="1" t="s">
        <v>4</v>
      </c>
      <c r="E10" s="1">
        <v>2020</v>
      </c>
      <c r="F10" s="7">
        <v>63829169140</v>
      </c>
      <c r="G10" s="7">
        <f t="shared" si="3"/>
        <v>-9390522814</v>
      </c>
      <c r="H10" s="10">
        <f>10035000+106128409949+148962330950+7680263492</f>
        <v>262781039391</v>
      </c>
      <c r="I10" s="11">
        <f t="shared" si="4"/>
        <v>86986916350</v>
      </c>
      <c r="J10" s="9">
        <f t="shared" si="0"/>
        <v>-0.47814394100105029</v>
      </c>
    </row>
    <row r="11" spans="3:10" x14ac:dyDescent="0.35">
      <c r="C11" s="1">
        <v>10</v>
      </c>
      <c r="D11" s="1" t="s">
        <v>4</v>
      </c>
      <c r="E11" s="1">
        <v>2021</v>
      </c>
      <c r="F11" s="7">
        <v>27094983645</v>
      </c>
      <c r="G11" s="7">
        <f>-(F11-F10)</f>
        <v>36734185495</v>
      </c>
      <c r="H11" s="10">
        <f>65234343420+132635142107+5243671084</f>
        <v>203113156611</v>
      </c>
      <c r="I11" s="11">
        <f t="shared" si="4"/>
        <v>-59667882780</v>
      </c>
      <c r="J11" s="9">
        <f t="shared" si="0"/>
        <v>1.6495226625969126</v>
      </c>
    </row>
    <row r="12" spans="3:10" x14ac:dyDescent="0.35">
      <c r="C12" s="1">
        <v>11</v>
      </c>
      <c r="D12" s="1" t="s">
        <v>5</v>
      </c>
      <c r="E12" s="1">
        <v>2017</v>
      </c>
      <c r="F12" s="7">
        <f>48177849000000+31937763000000+1767568000000+11040059000000</f>
        <v>92923239000000</v>
      </c>
      <c r="G12" s="7"/>
      <c r="H12" s="10">
        <f>3254353000000+2813466000000+2766507000000+71388000000+18106412000000+216884000000+426789981000000</f>
        <v>454018991000000</v>
      </c>
      <c r="I12" s="9"/>
      <c r="J12" s="9">
        <f t="shared" si="0"/>
        <v>0</v>
      </c>
    </row>
    <row r="13" spans="3:10" x14ac:dyDescent="0.35">
      <c r="C13" s="1">
        <v>12</v>
      </c>
      <c r="D13" s="1" t="s">
        <v>5</v>
      </c>
      <c r="E13" s="1">
        <v>2018</v>
      </c>
      <c r="F13" s="7">
        <f>54138613000000+35446315000000+1711857000000+11612599000000</f>
        <v>102909384000000</v>
      </c>
      <c r="G13" s="7">
        <f>F13-F12</f>
        <v>9986145000000</v>
      </c>
      <c r="H13" s="10">
        <f>4253128000000+3429531000000+17000000+20295277000000+605248000000+497886888000000</f>
        <v>526470089000000</v>
      </c>
      <c r="I13" s="11">
        <f>H13-H12</f>
        <v>72451098000000</v>
      </c>
      <c r="J13" s="9">
        <f t="shared" si="0"/>
        <v>-4.0578506110111393E-2</v>
      </c>
    </row>
    <row r="14" spans="3:10" x14ac:dyDescent="0.35">
      <c r="C14" s="1">
        <v>13</v>
      </c>
      <c r="D14" s="1" t="s">
        <v>5</v>
      </c>
      <c r="E14" s="1">
        <v>2019</v>
      </c>
      <c r="F14" s="7">
        <f>58532373000000+36602374000000+1696928000000+13712398000000</f>
        <v>110544073000000</v>
      </c>
      <c r="G14" s="7">
        <f t="shared" ref="G14:G16" si="5">F14-F13</f>
        <v>7634689000000</v>
      </c>
      <c r="H14" s="10">
        <f>3220178000000+3785287000000+2571286000000+18558276000000+312266000000+539862076000000</f>
        <v>568309369000000</v>
      </c>
      <c r="I14" s="11">
        <f t="shared" ref="I14:I16" si="6">H14-H13</f>
        <v>41839280000000</v>
      </c>
      <c r="J14" s="9">
        <f t="shared" si="0"/>
        <v>-4.5559440938246348E-3</v>
      </c>
    </row>
    <row r="15" spans="3:10" x14ac:dyDescent="0.35">
      <c r="C15" s="1">
        <v>14</v>
      </c>
      <c r="D15" s="1" t="s">
        <v>5</v>
      </c>
      <c r="E15" s="1">
        <v>2020</v>
      </c>
      <c r="F15" s="7">
        <f>56172871000000+37151966000000+1471088000000+13412581000000</f>
        <v>108208506000000</v>
      </c>
      <c r="G15" s="7">
        <f t="shared" si="5"/>
        <v>-2335567000000</v>
      </c>
      <c r="H15" s="10">
        <f>3908683000000+3874790000000+2382329000000+20575666000000+140614000000+541978801000000</f>
        <v>572860883000000</v>
      </c>
      <c r="I15" s="11">
        <f t="shared" si="6"/>
        <v>4551514000000</v>
      </c>
      <c r="J15" s="9">
        <f t="shared" si="0"/>
        <v>-2.9529184566805207E-2</v>
      </c>
    </row>
    <row r="16" spans="3:10" x14ac:dyDescent="0.35">
      <c r="C16" s="1">
        <v>15</v>
      </c>
      <c r="D16" s="1" t="s">
        <v>5</v>
      </c>
      <c r="E16" s="1">
        <v>2021</v>
      </c>
      <c r="F16" s="7">
        <f>50025887000000+38246731000000+1398957000000+16219699000000</f>
        <v>105891274000000</v>
      </c>
      <c r="G16" s="7">
        <f t="shared" si="5"/>
        <v>-2317232000000</v>
      </c>
      <c r="H16" s="10">
        <f>3333395000000+3057796000000+2051031000000+20542767000000+494183000000+532141344000000</f>
        <v>561620516000000</v>
      </c>
      <c r="I16" s="11">
        <f t="shared" si="6"/>
        <v>-11240367000000</v>
      </c>
      <c r="J16" s="9">
        <f t="shared" si="0"/>
        <v>-1.868957778397403E-3</v>
      </c>
    </row>
    <row r="17" spans="3:10" x14ac:dyDescent="0.35">
      <c r="C17" s="1">
        <v>16</v>
      </c>
      <c r="D17" s="1" t="s">
        <v>6</v>
      </c>
      <c r="E17" s="1">
        <v>2017</v>
      </c>
      <c r="F17" s="7">
        <f>22851758000000+1605931000000</f>
        <v>24457689000000</v>
      </c>
      <c r="G17" s="7"/>
      <c r="H17" s="10">
        <f>196634594000000+8081000000</f>
        <v>196642675000000</v>
      </c>
      <c r="I17" s="9"/>
      <c r="J17" s="9">
        <f t="shared" si="0"/>
        <v>0</v>
      </c>
    </row>
    <row r="18" spans="3:10" x14ac:dyDescent="0.35">
      <c r="C18" s="1">
        <v>17</v>
      </c>
      <c r="D18" s="1" t="s">
        <v>6</v>
      </c>
      <c r="E18" s="1">
        <v>2018</v>
      </c>
      <c r="F18" s="7">
        <f>22851758000000+2071594000000</f>
        <v>24923352000000</v>
      </c>
      <c r="G18" s="7">
        <f>F18-F17</f>
        <v>465663000000</v>
      </c>
      <c r="H18" s="10">
        <f>234459542000000+528148000000</f>
        <v>234987690000000</v>
      </c>
      <c r="I18" s="11">
        <f>H18-H17</f>
        <v>38345015000000</v>
      </c>
      <c r="J18" s="9">
        <f t="shared" si="0"/>
        <v>-0.14449502134319769</v>
      </c>
    </row>
    <row r="19" spans="3:10" x14ac:dyDescent="0.35">
      <c r="C19" s="1">
        <v>18</v>
      </c>
      <c r="D19" s="1" t="s">
        <v>6</v>
      </c>
      <c r="E19" s="1">
        <v>2019</v>
      </c>
      <c r="F19" s="7">
        <f>25719874000000+2109852000000</f>
        <v>27829726000000</v>
      </c>
      <c r="G19" s="7">
        <f t="shared" ref="G19:G21" si="7">F19-F18</f>
        <v>2906374000000</v>
      </c>
      <c r="H19" s="10">
        <f>249708993000000+487052000000</f>
        <v>250196045000000</v>
      </c>
      <c r="I19" s="11">
        <f t="shared" ref="I19:I21" si="8">H19-H18</f>
        <v>15208355000000</v>
      </c>
      <c r="J19" s="9">
        <f t="shared" si="0"/>
        <v>4.3648404893450704E-2</v>
      </c>
    </row>
    <row r="20" spans="3:10" x14ac:dyDescent="0.35">
      <c r="C20" s="1">
        <v>19</v>
      </c>
      <c r="D20" s="1" t="s">
        <v>6</v>
      </c>
      <c r="E20" s="1">
        <v>2020</v>
      </c>
      <c r="F20" s="7">
        <f>25105780000000+2514607000000</f>
        <v>27620387000000</v>
      </c>
      <c r="G20" s="7">
        <f t="shared" si="7"/>
        <v>-209339000000</v>
      </c>
      <c r="H20" s="10">
        <f>247053220000000+194678000000+70366000000</f>
        <v>247318264000000</v>
      </c>
      <c r="I20" s="11">
        <f t="shared" si="8"/>
        <v>-2877781000000</v>
      </c>
      <c r="J20" s="9">
        <f t="shared" si="0"/>
        <v>4.0567941315188538E-3</v>
      </c>
    </row>
    <row r="21" spans="3:10" x14ac:dyDescent="0.35">
      <c r="C21" s="1">
        <v>20</v>
      </c>
      <c r="D21" s="1" t="s">
        <v>6</v>
      </c>
      <c r="E21" s="1">
        <v>2021</v>
      </c>
      <c r="F21" s="7">
        <f>25794958000000+2362567000000</f>
        <v>28157525000000</v>
      </c>
      <c r="G21" s="7">
        <f t="shared" si="7"/>
        <v>537138000000</v>
      </c>
      <c r="H21" s="10">
        <f>260399531000000+31017000000+453517000000</f>
        <v>260884065000000</v>
      </c>
      <c r="I21" s="11">
        <f t="shared" si="8"/>
        <v>13565801000000</v>
      </c>
      <c r="J21" s="9">
        <f t="shared" si="0"/>
        <v>-3.2923167454722589E-2</v>
      </c>
    </row>
    <row r="22" spans="3:10" x14ac:dyDescent="0.35">
      <c r="C22" s="1">
        <v>21</v>
      </c>
      <c r="D22" s="1" t="s">
        <v>7</v>
      </c>
      <c r="E22" s="1">
        <v>2017</v>
      </c>
      <c r="F22" s="7">
        <v>2386245000000</v>
      </c>
      <c r="G22" s="7"/>
      <c r="H22" s="10">
        <f>237072000000+811042000000+184885000000+2640852000000-22184000000+555000000+305296000000-2714000000+169120000000-247000000</f>
        <v>4323677000000</v>
      </c>
      <c r="I22" s="9"/>
      <c r="J22" s="9">
        <f t="shared" si="0"/>
        <v>0</v>
      </c>
    </row>
    <row r="23" spans="3:10" x14ac:dyDescent="0.35">
      <c r="C23" s="1">
        <v>22</v>
      </c>
      <c r="D23" s="1" t="s">
        <v>7</v>
      </c>
      <c r="E23" s="1">
        <v>2018</v>
      </c>
      <c r="F23" s="7">
        <v>2661759000000</v>
      </c>
      <c r="G23" s="7">
        <f>F23-F22</f>
        <v>275514000000</v>
      </c>
      <c r="H23" s="10">
        <f>119242000000+383410000000+369483000000+1917798000000-21885000000+519000000+135696000000-120000000+85125000000-2136000000</f>
        <v>2987132000000</v>
      </c>
      <c r="I23" s="11">
        <f>H23-H22</f>
        <v>-1336545000000</v>
      </c>
      <c r="J23" s="9">
        <f t="shared" si="0"/>
        <v>0.55094243838905554</v>
      </c>
    </row>
    <row r="24" spans="3:10" x14ac:dyDescent="0.35">
      <c r="C24" s="1">
        <v>23</v>
      </c>
      <c r="D24" s="1" t="s">
        <v>7</v>
      </c>
      <c r="E24" s="1">
        <v>2019</v>
      </c>
      <c r="F24" s="7">
        <v>2737029000000</v>
      </c>
      <c r="G24" s="7">
        <f t="shared" ref="G24:G26" si="9">F24-F23</f>
        <v>75270000000</v>
      </c>
      <c r="H24" s="10">
        <f>169859000000+411428000000+191148000000+1763073000000-22167000000+8965000000+28439000000-1092000000+50897000000-2792000000</f>
        <v>2597758000000</v>
      </c>
      <c r="I24" s="11">
        <f t="shared" ref="I24:I26" si="10">H24-H23</f>
        <v>-389374000000</v>
      </c>
      <c r="J24" s="9">
        <f t="shared" si="0"/>
        <v>0.1773891027840083</v>
      </c>
    </row>
    <row r="25" spans="3:10" x14ac:dyDescent="0.35">
      <c r="C25" s="1">
        <v>24</v>
      </c>
      <c r="D25" s="1" t="s">
        <v>7</v>
      </c>
      <c r="E25" s="1">
        <v>2020</v>
      </c>
      <c r="F25" s="7">
        <v>2657232000000</v>
      </c>
      <c r="G25" s="7">
        <f t="shared" si="9"/>
        <v>-79797000000</v>
      </c>
      <c r="H25" s="10">
        <f>340136000000+680541000000+180993000000+1390494000000-15447000000+4768000000+89000000-12000000+13316000000-324000000</f>
        <v>2594554000000</v>
      </c>
      <c r="I25" s="11">
        <f t="shared" si="10"/>
        <v>-3204000000</v>
      </c>
      <c r="J25" s="9">
        <f t="shared" si="0"/>
        <v>-2.8795227249164335E-2</v>
      </c>
    </row>
    <row r="26" spans="3:10" x14ac:dyDescent="0.35">
      <c r="C26" s="1">
        <v>25</v>
      </c>
      <c r="D26" s="1" t="s">
        <v>7</v>
      </c>
      <c r="E26" s="1">
        <v>2021</v>
      </c>
      <c r="F26" s="7">
        <v>2735142000000</v>
      </c>
      <c r="G26" s="7">
        <f t="shared" si="9"/>
        <v>77910000000</v>
      </c>
      <c r="H26" s="10">
        <f>291740000000+474897000000+208289000000+1317356000000-13338000000+1654000000+3674000000+21610000000-7000000</f>
        <v>2305875000000</v>
      </c>
      <c r="I26" s="11">
        <f t="shared" si="10"/>
        <v>-288679000000</v>
      </c>
      <c r="J26" s="9">
        <f t="shared" si="0"/>
        <v>0.15367763261062439</v>
      </c>
    </row>
    <row r="27" spans="3:10" x14ac:dyDescent="0.35">
      <c r="C27" s="1">
        <v>26</v>
      </c>
      <c r="D27" s="1" t="s">
        <v>8</v>
      </c>
      <c r="E27" s="1">
        <v>2017</v>
      </c>
      <c r="F27" s="7">
        <f>13979824000000+5110441000000</f>
        <v>19090265000000</v>
      </c>
      <c r="G27" s="7"/>
      <c r="H27" s="10">
        <f>413000000+103493000000+26080060000000+369488000000+1465000000+251502000000+2468000000+1483472000000+71783000000+93973723000000</f>
        <v>122337867000000</v>
      </c>
      <c r="I27" s="9"/>
      <c r="J27" s="9">
        <f t="shared" si="0"/>
        <v>0</v>
      </c>
    </row>
    <row r="28" spans="3:10" x14ac:dyDescent="0.35">
      <c r="C28" s="1">
        <v>27</v>
      </c>
      <c r="D28" s="1" t="s">
        <v>8</v>
      </c>
      <c r="E28" s="1">
        <v>2018</v>
      </c>
      <c r="F28" s="7">
        <f>14241084000000+5158037000000</f>
        <v>19399121000000</v>
      </c>
      <c r="G28" s="7">
        <f>F28-F27</f>
        <v>308856000000</v>
      </c>
      <c r="H28" s="10">
        <f>54553000000+394538000000+28262631000000+240623000000+1679176000000+71783000000+93973723000000</f>
        <v>124677027000000</v>
      </c>
      <c r="I28" s="11">
        <f>H28-H27</f>
        <v>2339160000000</v>
      </c>
      <c r="J28" s="9">
        <f t="shared" si="0"/>
        <v>-2.8406225795919345E-3</v>
      </c>
    </row>
    <row r="29" spans="3:10" x14ac:dyDescent="0.35">
      <c r="C29" s="1">
        <v>28</v>
      </c>
      <c r="D29" s="1" t="s">
        <v>8</v>
      </c>
      <c r="E29" s="1">
        <v>2019</v>
      </c>
      <c r="F29" s="7">
        <f>14579398000000+3273414000000</f>
        <v>17852812000000</v>
      </c>
      <c r="G29" s="7">
        <f t="shared" ref="G29:G31" si="11">F29-F28</f>
        <v>-1546309000000</v>
      </c>
      <c r="H29" s="10">
        <f>159123000000+29624404000000+290517000000+862696000000+69720000000+106795782000000</f>
        <v>137802242000000</v>
      </c>
      <c r="I29" s="11">
        <f t="shared" ref="I29:I31" si="12">H29-H28</f>
        <v>13125215000000</v>
      </c>
      <c r="J29" s="9">
        <f t="shared" si="0"/>
        <v>-0.18186105536497654</v>
      </c>
    </row>
    <row r="30" spans="3:10" x14ac:dyDescent="0.35">
      <c r="C30" s="1">
        <v>29</v>
      </c>
      <c r="D30" s="1" t="s">
        <v>8</v>
      </c>
      <c r="E30" s="1">
        <v>2020</v>
      </c>
      <c r="F30" s="7">
        <f>13723663000000+2271140000000</f>
        <v>15994803000000</v>
      </c>
      <c r="G30" s="7">
        <f t="shared" si="11"/>
        <v>-1858009000000</v>
      </c>
      <c r="H30" s="10">
        <f>362482000000+22605362000000+246644000000+1592400000000+41365000000+103895653000000</f>
        <v>128743906000000</v>
      </c>
      <c r="I30" s="11">
        <f t="shared" si="12"/>
        <v>-9058336000000</v>
      </c>
      <c r="J30" s="9">
        <f t="shared" si="0"/>
        <v>-4.5803955771954369E-2</v>
      </c>
    </row>
    <row r="31" spans="3:10" x14ac:dyDescent="0.35">
      <c r="C31" s="1">
        <v>30</v>
      </c>
      <c r="D31" s="1" t="s">
        <v>8</v>
      </c>
      <c r="E31" s="1">
        <v>2021</v>
      </c>
      <c r="F31" s="7">
        <f>13747222000000+2413819000000</f>
        <v>16161041000000</v>
      </c>
      <c r="G31" s="7">
        <f t="shared" si="11"/>
        <v>166238000000</v>
      </c>
      <c r="H31" s="10">
        <f>187297000000+19958199000000+280613000000+2058574000000+30506000000+99935455000000</f>
        <v>122450644000000</v>
      </c>
      <c r="I31" s="11">
        <f t="shared" si="12"/>
        <v>-6293262000000</v>
      </c>
      <c r="J31" s="9">
        <f t="shared" si="0"/>
        <v>6.1680616736395646E-2</v>
      </c>
    </row>
    <row r="32" spans="3:10" x14ac:dyDescent="0.35">
      <c r="C32" s="1">
        <v>31</v>
      </c>
      <c r="D32" s="1" t="s">
        <v>9</v>
      </c>
      <c r="E32" s="1">
        <v>2017</v>
      </c>
      <c r="F32" s="7">
        <v>4042317000000</v>
      </c>
      <c r="G32" s="7"/>
      <c r="H32" s="10">
        <f>9435315000000+5739410000000+414127000000</f>
        <v>15588852000000</v>
      </c>
      <c r="I32" s="9"/>
      <c r="J32" s="9">
        <f t="shared" si="0"/>
        <v>0</v>
      </c>
    </row>
    <row r="33" spans="3:10" x14ac:dyDescent="0.35">
      <c r="C33" s="1">
        <v>32</v>
      </c>
      <c r="D33" s="1" t="s">
        <v>9</v>
      </c>
      <c r="E33" s="1">
        <v>2018</v>
      </c>
      <c r="F33" s="7">
        <v>5018243000000</v>
      </c>
      <c r="G33" s="7">
        <f>F33-F32</f>
        <v>975926000000</v>
      </c>
      <c r="H33" s="10">
        <f>11357670000000+5922788000000+105000000+198271000000</f>
        <v>17478834000000</v>
      </c>
      <c r="I33" s="11">
        <f>H33-H32</f>
        <v>1889982000000</v>
      </c>
      <c r="J33" s="9">
        <f t="shared" si="0"/>
        <v>8.6345883373887017E-2</v>
      </c>
    </row>
    <row r="34" spans="3:10" x14ac:dyDescent="0.35">
      <c r="C34" s="1">
        <v>33</v>
      </c>
      <c r="D34" s="1" t="s">
        <v>9</v>
      </c>
      <c r="E34" s="1">
        <v>2019</v>
      </c>
      <c r="F34" s="7">
        <v>5240729000000</v>
      </c>
      <c r="G34" s="7">
        <f t="shared" ref="G34:G36" si="13">F34-F33</f>
        <v>222486000000</v>
      </c>
      <c r="H34" s="10">
        <f>17395920000000+2105000000+153494000000</f>
        <v>17551519000000</v>
      </c>
      <c r="I34" s="11">
        <f t="shared" ref="I34:I36" si="14">H34-H33</f>
        <v>72685000000</v>
      </c>
      <c r="J34" s="9">
        <f t="shared" si="0"/>
        <v>3.8312017111566787E-2</v>
      </c>
    </row>
    <row r="35" spans="3:10" x14ac:dyDescent="0.35">
      <c r="C35" s="1">
        <v>34</v>
      </c>
      <c r="D35" s="1" t="s">
        <v>9</v>
      </c>
      <c r="E35" s="1">
        <v>2020</v>
      </c>
      <c r="F35" s="7">
        <v>4569778000000</v>
      </c>
      <c r="G35" s="7">
        <f t="shared" si="13"/>
        <v>-670951000000</v>
      </c>
      <c r="H35" s="10">
        <f>12678444000000+586000000+154904000000</f>
        <v>12833934000000</v>
      </c>
      <c r="I35" s="11">
        <f t="shared" si="14"/>
        <v>-4717585000000</v>
      </c>
      <c r="J35" s="9">
        <f t="shared" si="0"/>
        <v>0.22076327727550468</v>
      </c>
    </row>
    <row r="36" spans="3:10" x14ac:dyDescent="0.35">
      <c r="C36" s="1">
        <v>35</v>
      </c>
      <c r="D36" s="1" t="s">
        <v>9</v>
      </c>
      <c r="E36" s="1">
        <v>2021</v>
      </c>
      <c r="F36" s="7">
        <v>4122555000000</v>
      </c>
      <c r="G36" s="7">
        <f t="shared" si="13"/>
        <v>-447223000000</v>
      </c>
      <c r="H36" s="10">
        <f>13676190000000+941000000+87089000000</f>
        <v>13764220000000</v>
      </c>
      <c r="I36" s="11">
        <f t="shared" si="14"/>
        <v>930286000000</v>
      </c>
      <c r="J36" s="9">
        <f t="shared" si="0"/>
        <v>-0.17606926332264938</v>
      </c>
    </row>
    <row r="37" spans="3:10" x14ac:dyDescent="0.35">
      <c r="C37" s="1">
        <v>36</v>
      </c>
      <c r="D37" s="1" t="s">
        <v>10</v>
      </c>
      <c r="E37" s="1">
        <v>2017</v>
      </c>
      <c r="F37" s="7">
        <f>12403379000000+4106571000000</f>
        <v>16509950000000</v>
      </c>
      <c r="G37" s="7"/>
      <c r="H37" s="7">
        <f>280293000000+181405722000000+3710084000000+10936000000+4184965000000</f>
        <v>189592000000000</v>
      </c>
      <c r="I37" s="9"/>
      <c r="J37" s="9">
        <f t="shared" si="0"/>
        <v>0</v>
      </c>
    </row>
    <row r="38" spans="3:10" x14ac:dyDescent="0.35">
      <c r="C38" s="1">
        <v>37</v>
      </c>
      <c r="D38" s="1" t="s">
        <v>10</v>
      </c>
      <c r="E38" s="1">
        <v>2018</v>
      </c>
      <c r="F38" s="7">
        <f>12011731000000+4794343000000</f>
        <v>16806074000000</v>
      </c>
      <c r="G38" s="7">
        <f>F38-F37</f>
        <v>296124000000</v>
      </c>
      <c r="H38" s="7">
        <f>1084759000000+180311277000000+2052802000000+1180000000+4462483000000</f>
        <v>187912501000000</v>
      </c>
      <c r="I38" s="11">
        <f>H38-H37</f>
        <v>-1679499000000</v>
      </c>
      <c r="J38" s="9">
        <f t="shared" si="0"/>
        <v>2.6557723170518119E-2</v>
      </c>
    </row>
    <row r="39" spans="3:10" x14ac:dyDescent="0.35">
      <c r="C39" s="1">
        <v>38</v>
      </c>
      <c r="D39" s="1" t="s">
        <v>10</v>
      </c>
      <c r="E39" s="1">
        <v>2019</v>
      </c>
      <c r="F39" s="7">
        <f>12568018000000+4933747000000</f>
        <v>17501765000000</v>
      </c>
      <c r="G39" s="7">
        <f t="shared" ref="G39:G41" si="15">F39-F38</f>
        <v>695691000000</v>
      </c>
      <c r="H39" s="7">
        <f>725478000000+184998140000000+3179370000000+3767071000000</f>
        <v>192670059000000</v>
      </c>
      <c r="I39" s="11">
        <f t="shared" ref="I39:I41" si="16">H39-H38</f>
        <v>4757558000000</v>
      </c>
      <c r="J39" s="9">
        <f t="shared" si="0"/>
        <v>1.505698954088211E-2</v>
      </c>
    </row>
    <row r="40" spans="3:10" x14ac:dyDescent="0.35">
      <c r="C40" s="1">
        <v>39</v>
      </c>
      <c r="D40" s="1" t="s">
        <v>10</v>
      </c>
      <c r="E40" s="1">
        <v>2020</v>
      </c>
      <c r="F40" s="7">
        <f>12470518000000+2853855000000</f>
        <v>15324373000000</v>
      </c>
      <c r="G40" s="7">
        <f t="shared" si="15"/>
        <v>-2177392000000</v>
      </c>
      <c r="H40" s="7">
        <f>1359286000000+159851784000000+2977849000000+2022665000000</f>
        <v>166211584000000</v>
      </c>
      <c r="I40" s="11">
        <f t="shared" si="16"/>
        <v>-26458475000000</v>
      </c>
      <c r="J40" s="9">
        <f t="shared" si="0"/>
        <v>1.7098648063720773E-2</v>
      </c>
    </row>
    <row r="41" spans="3:10" x14ac:dyDescent="0.35">
      <c r="C41" s="1">
        <v>40</v>
      </c>
      <c r="D41" s="1" t="s">
        <v>10</v>
      </c>
      <c r="E41" s="1">
        <v>2021</v>
      </c>
      <c r="F41" s="7">
        <f>13088860000000+5118392000000</f>
        <v>18207252000000</v>
      </c>
      <c r="G41" s="7">
        <f t="shared" si="15"/>
        <v>2882879000000</v>
      </c>
      <c r="H41" s="7">
        <f>909081000000+164089257000000+4388529000000+2564041000000</f>
        <v>171950908000000</v>
      </c>
      <c r="I41" s="11">
        <f t="shared" si="16"/>
        <v>5739324000000</v>
      </c>
      <c r="J41" s="9">
        <f t="shared" si="0"/>
        <v>0.12495916450430758</v>
      </c>
    </row>
    <row r="42" spans="3:10" x14ac:dyDescent="0.35">
      <c r="C42" s="1">
        <v>41</v>
      </c>
      <c r="D42" s="1" t="s">
        <v>11</v>
      </c>
      <c r="E42" s="1">
        <v>2017</v>
      </c>
      <c r="F42" s="7">
        <v>2729339000000</v>
      </c>
      <c r="G42" s="7"/>
      <c r="H42" s="7">
        <f>200049000000+111809451000000+11488651000000+2747132000000</f>
        <v>126245283000000</v>
      </c>
      <c r="I42" s="9"/>
      <c r="J42" s="9">
        <f t="shared" si="0"/>
        <v>0</v>
      </c>
    </row>
    <row r="43" spans="3:10" x14ac:dyDescent="0.35">
      <c r="C43" s="1">
        <v>42</v>
      </c>
      <c r="D43" s="1" t="s">
        <v>11</v>
      </c>
      <c r="E43" s="1">
        <v>2018</v>
      </c>
      <c r="F43" s="7">
        <v>2266716000000</v>
      </c>
      <c r="G43" s="7">
        <f>F43-F42</f>
        <v>-462623000000</v>
      </c>
      <c r="H43" s="7">
        <f>1289978000000+119909785000000+11161919000000+2813730000000</f>
        <v>135175412000000</v>
      </c>
      <c r="I43" s="11">
        <f>H43-H42</f>
        <v>8930129000000</v>
      </c>
      <c r="J43" s="9">
        <f t="shared" si="0"/>
        <v>-0.27015720483164274</v>
      </c>
    </row>
    <row r="44" spans="3:10" x14ac:dyDescent="0.35">
      <c r="C44" s="1">
        <v>43</v>
      </c>
      <c r="D44" s="1" t="s">
        <v>11</v>
      </c>
      <c r="E44" s="1">
        <v>2019</v>
      </c>
      <c r="F44" s="7">
        <v>2580258000000</v>
      </c>
      <c r="G44" s="7">
        <f t="shared" ref="G44:G46" si="17">F44-F43</f>
        <v>313542000000</v>
      </c>
      <c r="H44" s="7">
        <f>748480000000+10839431000000+109179337000000+1740388000000</f>
        <v>122507636000000</v>
      </c>
      <c r="I44" s="11">
        <f t="shared" ref="I44:I46" si="18">H44-H43</f>
        <v>-12667776000000</v>
      </c>
      <c r="J44" s="9">
        <f t="shared" si="0"/>
        <v>0.22491972607287714</v>
      </c>
    </row>
    <row r="45" spans="3:10" x14ac:dyDescent="0.35">
      <c r="C45" s="1">
        <v>44</v>
      </c>
      <c r="D45" s="1" t="s">
        <v>11</v>
      </c>
      <c r="E45" s="1">
        <v>2020</v>
      </c>
      <c r="F45" s="7">
        <v>2384529000000</v>
      </c>
      <c r="G45" s="7">
        <f t="shared" si="17"/>
        <v>-195729000000</v>
      </c>
      <c r="H45" s="7">
        <f>1247872000000+93979899000000+8061654000000+1113285000000</f>
        <v>104402710000000</v>
      </c>
      <c r="I45" s="11">
        <f t="shared" si="18"/>
        <v>-18104926000000</v>
      </c>
      <c r="J45" s="9">
        <f t="shared" si="0"/>
        <v>9.1331453209483271E-2</v>
      </c>
    </row>
    <row r="46" spans="3:10" x14ac:dyDescent="0.35">
      <c r="C46" s="1">
        <v>45</v>
      </c>
      <c r="D46" s="1" t="s">
        <v>11</v>
      </c>
      <c r="E46" s="1">
        <v>2021</v>
      </c>
      <c r="F46" s="7">
        <v>2092225000000</v>
      </c>
      <c r="G46" s="7">
        <f t="shared" si="17"/>
        <v>-292304000000</v>
      </c>
      <c r="H46" s="7">
        <f>560650000000+90675892000000+7826992000000+1664127000000</f>
        <v>100727661000000</v>
      </c>
      <c r="I46" s="11">
        <f t="shared" si="18"/>
        <v>-3675049000000</v>
      </c>
      <c r="J46" s="9">
        <f t="shared" si="0"/>
        <v>-0.10322463639632509</v>
      </c>
    </row>
    <row r="47" spans="3:10" x14ac:dyDescent="0.35">
      <c r="C47" s="1">
        <v>46</v>
      </c>
      <c r="D47" s="1" t="s">
        <v>12</v>
      </c>
      <c r="E47" s="1">
        <v>2017</v>
      </c>
      <c r="F47" s="7">
        <v>8580185000000</v>
      </c>
      <c r="G47" s="7"/>
      <c r="H47" s="7">
        <f>3569686000000+60174000000+89703197000000+317788000000</f>
        <v>93650845000000</v>
      </c>
      <c r="I47" s="9"/>
      <c r="J47" s="9">
        <f t="shared" si="0"/>
        <v>0</v>
      </c>
    </row>
    <row r="48" spans="3:10" x14ac:dyDescent="0.35">
      <c r="C48" s="1">
        <v>47</v>
      </c>
      <c r="D48" s="1" t="s">
        <v>12</v>
      </c>
      <c r="E48" s="1">
        <v>2018</v>
      </c>
      <c r="F48" s="7">
        <v>7361481000000</v>
      </c>
      <c r="G48" s="7">
        <f>F48-F47</f>
        <v>-1218704000000</v>
      </c>
      <c r="H48" s="7">
        <f>2730307000000+23084000000+98912371000000+297230000000</f>
        <v>101962992000000</v>
      </c>
      <c r="I48" s="11">
        <f>H48-H47</f>
        <v>8312147000000</v>
      </c>
      <c r="J48" s="9">
        <f t="shared" si="0"/>
        <v>-0.2470726849439403</v>
      </c>
    </row>
    <row r="49" spans="3:10" x14ac:dyDescent="0.35">
      <c r="C49" s="1">
        <v>48</v>
      </c>
      <c r="D49" s="1" t="s">
        <v>12</v>
      </c>
      <c r="E49" s="1">
        <v>2019</v>
      </c>
      <c r="F49" s="7">
        <v>7834473000000</v>
      </c>
      <c r="G49" s="7">
        <f t="shared" ref="G49:G51" si="19">F49-F48</f>
        <v>472992000000</v>
      </c>
      <c r="H49" s="7">
        <f>1693465000000+104325105000000+757139000000</f>
        <v>106775709000000</v>
      </c>
      <c r="I49" s="11">
        <f t="shared" ref="I49:I51" si="20">H49-H48</f>
        <v>4812717000000</v>
      </c>
      <c r="J49" s="9">
        <f t="shared" si="0"/>
        <v>1.5300028925604552E-2</v>
      </c>
    </row>
    <row r="50" spans="3:10" x14ac:dyDescent="0.35">
      <c r="C50" s="1">
        <v>49</v>
      </c>
      <c r="D50" s="1" t="s">
        <v>12</v>
      </c>
      <c r="E50" s="1">
        <v>2020</v>
      </c>
      <c r="F50" s="7">
        <v>8850419000000</v>
      </c>
      <c r="G50" s="7">
        <f t="shared" si="19"/>
        <v>1015946000000</v>
      </c>
      <c r="H50" s="7">
        <f>1434917000000+110698468000000+112440000000</f>
        <v>112245825000000</v>
      </c>
      <c r="I50" s="11">
        <f t="shared" si="20"/>
        <v>5470116000000</v>
      </c>
      <c r="J50" s="9">
        <f t="shared" si="0"/>
        <v>6.6057365233405843E-2</v>
      </c>
    </row>
    <row r="51" spans="3:10" x14ac:dyDescent="0.35">
      <c r="C51" s="1">
        <v>50</v>
      </c>
      <c r="D51" s="1" t="s">
        <v>12</v>
      </c>
      <c r="E51" s="1">
        <v>2021</v>
      </c>
      <c r="F51" s="7">
        <v>9848400000000</v>
      </c>
      <c r="G51" s="7">
        <f t="shared" si="19"/>
        <v>997981000000</v>
      </c>
      <c r="H51" s="7">
        <f>1927008000000+116875286000000+110592000000</f>
        <v>118912886000000</v>
      </c>
      <c r="I51" s="11">
        <f t="shared" si="20"/>
        <v>6667061000000</v>
      </c>
      <c r="J51" s="9">
        <f t="shared" si="0"/>
        <v>4.5267562029861319E-2</v>
      </c>
    </row>
    <row r="52" spans="3:10" x14ac:dyDescent="0.35">
      <c r="C52" s="1">
        <v>51</v>
      </c>
      <c r="D52" s="1" t="s">
        <v>13</v>
      </c>
      <c r="E52" s="1">
        <v>2017</v>
      </c>
      <c r="F52" s="7">
        <v>9136869000000</v>
      </c>
      <c r="G52" s="7"/>
      <c r="H52" s="7">
        <f>16939102000000+8579855000000+370051000000+9571000000+204225000000+51533000000+85680000000</f>
        <v>26240017000000</v>
      </c>
      <c r="I52" s="9"/>
      <c r="J52" s="9">
        <f t="shared" si="0"/>
        <v>0</v>
      </c>
    </row>
    <row r="53" spans="3:10" x14ac:dyDescent="0.35">
      <c r="C53" s="1">
        <v>52</v>
      </c>
      <c r="D53" s="1" t="s">
        <v>13</v>
      </c>
      <c r="E53" s="1">
        <v>2018</v>
      </c>
      <c r="F53" s="7">
        <v>10183755000000</v>
      </c>
      <c r="G53" s="7">
        <f>F53-F52</f>
        <v>1046886000000</v>
      </c>
      <c r="H53" s="7">
        <f>23258706000000+1698000000+4370502000000+240637000000+241000000+141036000000+55376000000</f>
        <v>28068196000000</v>
      </c>
      <c r="I53" s="11">
        <f>H53-H52</f>
        <v>1828179000000</v>
      </c>
      <c r="J53" s="9">
        <f t="shared" si="0"/>
        <v>3.7666135918369592E-2</v>
      </c>
    </row>
    <row r="54" spans="3:10" x14ac:dyDescent="0.35">
      <c r="C54" s="1">
        <v>53</v>
      </c>
      <c r="D54" s="1" t="s">
        <v>13</v>
      </c>
      <c r="E54" s="1">
        <v>2019</v>
      </c>
      <c r="F54" s="7">
        <v>11337726000000</v>
      </c>
      <c r="G54" s="7">
        <f t="shared" ref="G54:G56" si="21">F54-F53</f>
        <v>1153971000000</v>
      </c>
      <c r="H54" s="7">
        <f>26799715000000+2479000000+2822205000000+290520000000+33000000+121222000000+345788000000</f>
        <v>30381962000000</v>
      </c>
      <c r="I54" s="11">
        <f t="shared" ref="I54:I56" si="22">H54-H53</f>
        <v>2313766000000</v>
      </c>
      <c r="J54" s="9">
        <f t="shared" si="0"/>
        <v>2.5625610073082838E-2</v>
      </c>
    </row>
    <row r="55" spans="3:10" x14ac:dyDescent="0.35">
      <c r="C55" s="1">
        <v>54</v>
      </c>
      <c r="D55" s="1" t="s">
        <v>13</v>
      </c>
      <c r="E55" s="1">
        <v>2020</v>
      </c>
      <c r="F55" s="7">
        <v>9434745000000</v>
      </c>
      <c r="G55" s="7">
        <f t="shared" si="21"/>
        <v>-1902981000000</v>
      </c>
      <c r="H55" s="7">
        <f>20151991000000+2449818000000+296000000+246644000000+153970000000+245768000000+1849000000</f>
        <v>23250336000000</v>
      </c>
      <c r="I55" s="11">
        <f t="shared" si="22"/>
        <v>-7131626000000</v>
      </c>
      <c r="J55" s="9">
        <f t="shared" si="0"/>
        <v>0.10503291836281745</v>
      </c>
    </row>
    <row r="56" spans="3:10" x14ac:dyDescent="0.35">
      <c r="C56" s="1">
        <v>55</v>
      </c>
      <c r="D56" s="1" t="s">
        <v>13</v>
      </c>
      <c r="E56" s="1">
        <v>2021</v>
      </c>
      <c r="F56" s="7">
        <v>8653143000000</v>
      </c>
      <c r="G56" s="7">
        <f t="shared" si="21"/>
        <v>-781602000000</v>
      </c>
      <c r="H56" s="7">
        <f>16904868000000+2006000000+3051084000000+242000000+280613000000+99517000000+256444000000</f>
        <v>20594774000000</v>
      </c>
      <c r="I56" s="11">
        <f t="shared" si="22"/>
        <v>-2655562000000</v>
      </c>
      <c r="J56" s="9">
        <f t="shared" si="0"/>
        <v>3.861769567987218E-2</v>
      </c>
    </row>
    <row r="57" spans="3:10" x14ac:dyDescent="0.35">
      <c r="C57" s="1">
        <v>56</v>
      </c>
      <c r="D57" s="1" t="s">
        <v>14</v>
      </c>
      <c r="E57" s="1">
        <v>2017</v>
      </c>
      <c r="F57" s="7">
        <f>457677104000+416596112000</f>
        <v>874273216000</v>
      </c>
      <c r="G57" s="7"/>
      <c r="H57" s="7">
        <f>15576687733000+117881394000</f>
        <v>15694569127000</v>
      </c>
      <c r="I57" s="9"/>
      <c r="J57" s="9">
        <f t="shared" si="0"/>
        <v>0</v>
      </c>
    </row>
    <row r="58" spans="3:10" x14ac:dyDescent="0.35">
      <c r="C58" s="1">
        <v>57</v>
      </c>
      <c r="D58" s="1" t="s">
        <v>14</v>
      </c>
      <c r="E58" s="1">
        <v>2018</v>
      </c>
      <c r="F58" s="7">
        <f>459330574000+277296497000</f>
        <v>736627071000</v>
      </c>
      <c r="G58" s="7">
        <f>F58-F57</f>
        <v>-137646145000</v>
      </c>
      <c r="H58" s="7">
        <f>16102771560000+164546909000</f>
        <v>16267318469000</v>
      </c>
      <c r="I58" s="11">
        <f>H58-H57</f>
        <v>572749342000</v>
      </c>
      <c r="J58" s="9">
        <f t="shared" si="0"/>
        <v>-0.22206860400281614</v>
      </c>
    </row>
    <row r="59" spans="3:10" x14ac:dyDescent="0.35">
      <c r="C59" s="1">
        <v>58</v>
      </c>
      <c r="D59" s="1" t="s">
        <v>14</v>
      </c>
      <c r="E59" s="1">
        <v>2019</v>
      </c>
      <c r="F59" s="7">
        <f>269148219000+362154830000</f>
        <v>631303049000</v>
      </c>
      <c r="G59" s="7">
        <f t="shared" ref="G59:G61" si="23">F59-F58</f>
        <v>-105324022000</v>
      </c>
      <c r="H59" s="7">
        <f>17054738234000+66543426000</f>
        <v>17121281660000</v>
      </c>
      <c r="I59" s="11">
        <f t="shared" ref="I59:I61" si="24">H59-H58</f>
        <v>853963191000</v>
      </c>
      <c r="J59" s="9">
        <f t="shared" si="0"/>
        <v>-0.21671320881363976</v>
      </c>
    </row>
    <row r="60" spans="3:10" x14ac:dyDescent="0.35">
      <c r="C60" s="1">
        <v>59</v>
      </c>
      <c r="D60" s="1" t="s">
        <v>14</v>
      </c>
      <c r="E60" s="1">
        <v>2020</v>
      </c>
      <c r="F60" s="7">
        <f>189658449000+491005287000</f>
        <v>680663736000</v>
      </c>
      <c r="G60" s="7">
        <f t="shared" si="23"/>
        <v>49360687000</v>
      </c>
      <c r="H60" s="7">
        <f>14245976032000</f>
        <v>14245976032000</v>
      </c>
      <c r="I60" s="11">
        <f t="shared" si="24"/>
        <v>-2875305628000</v>
      </c>
      <c r="J60" s="9">
        <f t="shared" si="0"/>
        <v>0.2743512894460714</v>
      </c>
    </row>
    <row r="61" spans="3:10" x14ac:dyDescent="0.35">
      <c r="C61" s="1">
        <v>60</v>
      </c>
      <c r="D61" s="1" t="s">
        <v>14</v>
      </c>
      <c r="E61" s="1">
        <v>2021</v>
      </c>
      <c r="F61" s="7">
        <f>463654216000+453929343000</f>
        <v>917583559000</v>
      </c>
      <c r="G61" s="7">
        <f t="shared" si="23"/>
        <v>236919823000</v>
      </c>
      <c r="H61" s="7">
        <f>14786800658000</f>
        <v>14786800658000</v>
      </c>
      <c r="I61" s="11">
        <f t="shared" si="24"/>
        <v>540824626000</v>
      </c>
      <c r="J61" s="9">
        <f t="shared" si="0"/>
        <v>0.2216249018157587</v>
      </c>
    </row>
    <row r="62" spans="3:10" x14ac:dyDescent="0.35">
      <c r="C62" s="1">
        <v>61</v>
      </c>
      <c r="D62" s="1" t="s">
        <v>15</v>
      </c>
      <c r="E62" s="1">
        <v>2017</v>
      </c>
      <c r="F62" s="7">
        <v>1399103951000</v>
      </c>
      <c r="G62" s="7"/>
      <c r="H62" s="7">
        <f>2713270788000+5716045944000+1139565087000+50722720000</f>
        <v>9619604539000</v>
      </c>
      <c r="I62" s="9"/>
      <c r="J62" s="9">
        <f t="shared" si="0"/>
        <v>0</v>
      </c>
    </row>
    <row r="63" spans="3:10" x14ac:dyDescent="0.35">
      <c r="C63" s="1">
        <v>62</v>
      </c>
      <c r="D63" s="1" t="s">
        <v>15</v>
      </c>
      <c r="E63" s="1">
        <v>2018</v>
      </c>
      <c r="F63" s="7">
        <v>1933912294000</v>
      </c>
      <c r="G63" s="7">
        <f>F63-F62</f>
        <v>534808343000</v>
      </c>
      <c r="H63" s="7">
        <f>1369068419000+8163519402000+736038827000+463999782000</f>
        <v>10732626430000</v>
      </c>
      <c r="I63" s="11">
        <f>H63-H62</f>
        <v>1113021891000</v>
      </c>
      <c r="J63" s="9">
        <f t="shared" si="0"/>
        <v>0.17283766926211694</v>
      </c>
    </row>
    <row r="64" spans="3:10" x14ac:dyDescent="0.35">
      <c r="C64" s="1">
        <v>63</v>
      </c>
      <c r="D64" s="1" t="s">
        <v>15</v>
      </c>
      <c r="E64" s="1">
        <v>2019</v>
      </c>
      <c r="F64" s="7">
        <v>2164662845000</v>
      </c>
      <c r="G64" s="7">
        <f t="shared" ref="G64:G66" si="25">F64-F63</f>
        <v>230750551000</v>
      </c>
      <c r="H64" s="7">
        <f>741211620000+9846112210000+695030908000+437440382000</f>
        <v>11719795120000</v>
      </c>
      <c r="I64" s="11">
        <f t="shared" ref="I64:I66" si="26">H64-H63</f>
        <v>987168690000</v>
      </c>
      <c r="J64" s="9">
        <f t="shared" si="0"/>
        <v>2.2367958393163467E-2</v>
      </c>
    </row>
    <row r="65" spans="3:10" x14ac:dyDescent="0.35">
      <c r="C65" s="1">
        <v>64</v>
      </c>
      <c r="D65" s="1" t="s">
        <v>15</v>
      </c>
      <c r="E65" s="1">
        <v>2020</v>
      </c>
      <c r="F65" s="7">
        <v>1847954148000</v>
      </c>
      <c r="G65" s="7">
        <f t="shared" si="25"/>
        <v>-316708697000</v>
      </c>
      <c r="H65" s="7">
        <f>433448957000+7175723377000+671273001000+438906799000</f>
        <v>8719352134000</v>
      </c>
      <c r="I65" s="11">
        <f t="shared" si="26"/>
        <v>-3000442986000</v>
      </c>
      <c r="J65" s="9">
        <f t="shared" si="0"/>
        <v>0.17272964745611244</v>
      </c>
    </row>
    <row r="66" spans="3:10" x14ac:dyDescent="0.35">
      <c r="C66" s="1">
        <v>65</v>
      </c>
      <c r="D66" s="1" t="s">
        <v>15</v>
      </c>
      <c r="E66" s="1">
        <v>2021</v>
      </c>
      <c r="F66" s="7">
        <v>1473648210000</v>
      </c>
      <c r="G66" s="7">
        <f t="shared" si="25"/>
        <v>-374305938000</v>
      </c>
      <c r="H66" s="7">
        <f>202613282000+5661194488000+82252189000+462366165000</f>
        <v>6408426124000</v>
      </c>
      <c r="I66" s="11">
        <f t="shared" si="26"/>
        <v>-2310926010000</v>
      </c>
      <c r="J66" s="9">
        <f t="shared" si="0"/>
        <v>0.1066078998619493</v>
      </c>
    </row>
    <row r="67" spans="3:10" x14ac:dyDescent="0.35">
      <c r="C67" s="1">
        <v>66</v>
      </c>
      <c r="D67" s="1" t="s">
        <v>16</v>
      </c>
      <c r="E67" s="1">
        <v>2017</v>
      </c>
      <c r="F67" s="7">
        <f>897831573000</f>
        <v>897831573000</v>
      </c>
      <c r="G67" s="7"/>
      <c r="H67" s="7">
        <f>3585278352000+45783117000+5282704000</f>
        <v>3636344173000</v>
      </c>
      <c r="I67" s="9"/>
      <c r="J67" s="9">
        <f t="shared" ref="J67:J130" si="27">(G67/F67)-(I67/H67)</f>
        <v>0</v>
      </c>
    </row>
    <row r="68" spans="3:10" x14ac:dyDescent="0.35">
      <c r="C68" s="1">
        <v>67</v>
      </c>
      <c r="D68" s="1" t="s">
        <v>16</v>
      </c>
      <c r="E68" s="1">
        <v>2018</v>
      </c>
      <c r="F68" s="7">
        <v>392508513000</v>
      </c>
      <c r="G68" s="7">
        <f>F68-F67</f>
        <v>-505323060000</v>
      </c>
      <c r="H68" s="7">
        <f>1567514959000+32912364000+4780126000+11530914000</f>
        <v>1616738363000</v>
      </c>
      <c r="I68" s="11">
        <f>H68-H67</f>
        <v>-2019605810000</v>
      </c>
      <c r="J68" s="9">
        <f t="shared" si="27"/>
        <v>-3.8234055526846999E-2</v>
      </c>
    </row>
    <row r="69" spans="3:10" x14ac:dyDescent="0.35">
      <c r="C69" s="1">
        <v>68</v>
      </c>
      <c r="D69" s="1" t="s">
        <v>16</v>
      </c>
      <c r="E69" s="1">
        <v>2019</v>
      </c>
      <c r="F69" s="7">
        <v>263594827000</v>
      </c>
      <c r="G69" s="7">
        <f t="shared" ref="G69:G71" si="28">F69-F68</f>
        <v>-128913686000</v>
      </c>
      <c r="H69" s="7">
        <f>502697630000+49933215000+1139727000+69589000</f>
        <v>553840161000</v>
      </c>
      <c r="I69" s="11">
        <f t="shared" ref="I69:I71" si="29">H69-H68</f>
        <v>-1062898202000</v>
      </c>
      <c r="J69" s="9">
        <f t="shared" si="27"/>
        <v>1.4300825198841878</v>
      </c>
    </row>
    <row r="70" spans="3:10" x14ac:dyDescent="0.35">
      <c r="C70" s="1">
        <v>69</v>
      </c>
      <c r="D70" s="1" t="s">
        <v>16</v>
      </c>
      <c r="E70" s="1">
        <v>2020</v>
      </c>
      <c r="F70" s="7">
        <v>100848335000</v>
      </c>
      <c r="G70" s="7">
        <f t="shared" si="28"/>
        <v>-162746492000</v>
      </c>
      <c r="H70" s="7">
        <f>285098091000+45060540000+143563000+6792416000</f>
        <v>337094610000</v>
      </c>
      <c r="I70" s="11">
        <f t="shared" si="29"/>
        <v>-216745551000</v>
      </c>
      <c r="J70" s="9">
        <f t="shared" si="27"/>
        <v>-0.97079334372830917</v>
      </c>
    </row>
    <row r="71" spans="3:10" x14ac:dyDescent="0.35">
      <c r="C71" s="1">
        <v>70</v>
      </c>
      <c r="D71" s="1" t="s">
        <v>16</v>
      </c>
      <c r="E71" s="1">
        <v>2021</v>
      </c>
      <c r="F71" s="7">
        <v>155080774000</v>
      </c>
      <c r="G71" s="7">
        <f t="shared" si="28"/>
        <v>54232439000</v>
      </c>
      <c r="H71" s="7">
        <f>980271775000+33803415000+405658000+11634137000</f>
        <v>1026114985000</v>
      </c>
      <c r="I71" s="11">
        <f t="shared" si="29"/>
        <v>689020375000</v>
      </c>
      <c r="J71" s="9">
        <f t="shared" si="27"/>
        <v>-0.32178010130767498</v>
      </c>
    </row>
    <row r="72" spans="3:10" x14ac:dyDescent="0.35">
      <c r="C72" s="1">
        <v>71</v>
      </c>
      <c r="D72" s="1" t="s">
        <v>17</v>
      </c>
      <c r="E72" s="1">
        <v>2017</v>
      </c>
      <c r="F72" s="7">
        <f>2600101000000+49025000000</f>
        <v>2649126000000</v>
      </c>
      <c r="G72" s="7"/>
      <c r="H72" s="7">
        <f>55348547000000+36000000</f>
        <v>55348583000000</v>
      </c>
      <c r="I72" s="9"/>
      <c r="J72" s="9">
        <f t="shared" si="27"/>
        <v>0</v>
      </c>
    </row>
    <row r="73" spans="3:10" x14ac:dyDescent="0.35">
      <c r="C73" s="1">
        <v>72</v>
      </c>
      <c r="D73" s="1" t="s">
        <v>17</v>
      </c>
      <c r="E73" s="1">
        <v>2018</v>
      </c>
      <c r="F73" s="7">
        <f>2969576000000+65932000000</f>
        <v>3035508000000</v>
      </c>
      <c r="G73" s="7">
        <f>F73-F72</f>
        <v>386382000000</v>
      </c>
      <c r="H73" s="7">
        <f>63586749000000</f>
        <v>63586749000000</v>
      </c>
      <c r="I73" s="11">
        <f>H73-H72</f>
        <v>8238166000000</v>
      </c>
      <c r="J73" s="9">
        <f t="shared" si="27"/>
        <v>-2.2704791914515965E-3</v>
      </c>
    </row>
    <row r="74" spans="3:10" x14ac:dyDescent="0.35">
      <c r="C74" s="1">
        <v>73</v>
      </c>
      <c r="D74" s="1" t="s">
        <v>17</v>
      </c>
      <c r="E74" s="1">
        <v>2019</v>
      </c>
      <c r="F74" s="7">
        <f>2919822000000+70296000000</f>
        <v>2990118000000</v>
      </c>
      <c r="G74" s="7">
        <f t="shared" ref="G74:G76" si="30">F74-F73</f>
        <v>-45390000000</v>
      </c>
      <c r="H74" s="7">
        <f>69067509000000</f>
        <v>69067509000000</v>
      </c>
      <c r="I74" s="11">
        <f t="shared" ref="I74:I76" si="31">H74-H73</f>
        <v>5480760000000</v>
      </c>
      <c r="J74" s="9">
        <f t="shared" si="27"/>
        <v>-9.45336683412695E-2</v>
      </c>
    </row>
    <row r="75" spans="3:10" x14ac:dyDescent="0.35">
      <c r="C75" s="1">
        <v>74</v>
      </c>
      <c r="D75" s="1" t="s">
        <v>17</v>
      </c>
      <c r="E75" s="1">
        <v>2020</v>
      </c>
      <c r="F75" s="7">
        <f>170632000000+1478177000000</f>
        <v>1648809000000</v>
      </c>
      <c r="G75" s="7">
        <f t="shared" si="30"/>
        <v>-1341309000000</v>
      </c>
      <c r="H75" s="7">
        <v>53905027000000</v>
      </c>
      <c r="I75" s="11">
        <f t="shared" si="31"/>
        <v>-15162482000000</v>
      </c>
      <c r="J75" s="9">
        <f t="shared" si="27"/>
        <v>-0.53222033581763117</v>
      </c>
    </row>
    <row r="76" spans="3:10" x14ac:dyDescent="0.35">
      <c r="C76" s="1">
        <v>75</v>
      </c>
      <c r="D76" s="1" t="s">
        <v>17</v>
      </c>
      <c r="E76" s="1">
        <v>2021</v>
      </c>
      <c r="F76" s="7">
        <f>405803000000+1052597000000</f>
        <v>1458400000000</v>
      </c>
      <c r="G76" s="7">
        <f t="shared" si="30"/>
        <v>-190409000000</v>
      </c>
      <c r="H76" s="7">
        <f>69529675000000+31622000000</f>
        <v>69561297000000</v>
      </c>
      <c r="I76" s="11">
        <f t="shared" si="31"/>
        <v>15656270000000</v>
      </c>
      <c r="J76" s="9">
        <f t="shared" si="27"/>
        <v>-0.35563176826088244</v>
      </c>
    </row>
    <row r="77" spans="3:10" x14ac:dyDescent="0.35">
      <c r="C77" s="1">
        <v>76</v>
      </c>
      <c r="D77" s="1" t="s">
        <v>18</v>
      </c>
      <c r="E77" s="1">
        <v>2017</v>
      </c>
      <c r="F77" s="7">
        <v>72428138539</v>
      </c>
      <c r="G77" s="7"/>
      <c r="H77" s="7">
        <f>3285281920+30733477830+1545878134+2667907025</f>
        <v>38232544909</v>
      </c>
      <c r="I77" s="9"/>
      <c r="J77" s="9">
        <f t="shared" si="27"/>
        <v>0</v>
      </c>
    </row>
    <row r="78" spans="3:10" x14ac:dyDescent="0.35">
      <c r="C78" s="1">
        <v>77</v>
      </c>
      <c r="D78" s="1" t="s">
        <v>18</v>
      </c>
      <c r="E78" s="1">
        <v>2018</v>
      </c>
      <c r="F78" s="7">
        <v>21821973059</v>
      </c>
      <c r="G78" s="7">
        <f>F78-F77</f>
        <v>-50606165480</v>
      </c>
      <c r="H78" s="7">
        <f>7193233188+12154104114+25007486+2281592270</f>
        <v>21653937058</v>
      </c>
      <c r="I78" s="11">
        <f>H78-H77</f>
        <v>-16578607851</v>
      </c>
      <c r="J78" s="9">
        <f t="shared" si="27"/>
        <v>-1.5534299502027913</v>
      </c>
    </row>
    <row r="79" spans="3:10" x14ac:dyDescent="0.35">
      <c r="C79" s="1">
        <v>78</v>
      </c>
      <c r="D79" s="1" t="s">
        <v>18</v>
      </c>
      <c r="E79" s="1">
        <v>2019</v>
      </c>
      <c r="F79" s="7">
        <v>-88952931905</v>
      </c>
      <c r="G79" s="7">
        <f t="shared" ref="G79:G81" si="32">F79-F78</f>
        <v>-110774904964</v>
      </c>
      <c r="H79" s="7">
        <f>1648099099+10186825883+6706700+1279072820</f>
        <v>13120704502</v>
      </c>
      <c r="I79" s="11">
        <f t="shared" ref="I79:I81" si="33">H79-H78</f>
        <v>-8533232556</v>
      </c>
      <c r="J79" s="9">
        <f t="shared" si="27"/>
        <v>1.8956843478796979</v>
      </c>
    </row>
    <row r="80" spans="3:10" x14ac:dyDescent="0.35">
      <c r="C80" s="1">
        <v>79</v>
      </c>
      <c r="D80" s="1" t="s">
        <v>18</v>
      </c>
      <c r="E80" s="1">
        <v>2020</v>
      </c>
      <c r="F80" s="7">
        <v>-61000620281</v>
      </c>
      <c r="G80" s="7">
        <f t="shared" si="32"/>
        <v>27952311624</v>
      </c>
      <c r="H80" s="7">
        <f>10066241244+10853868920+315047836+943953898</f>
        <v>22179111898</v>
      </c>
      <c r="I80" s="11">
        <f t="shared" si="33"/>
        <v>9058407396</v>
      </c>
      <c r="J80" s="9">
        <f t="shared" si="27"/>
        <v>-0.86665061168419877</v>
      </c>
    </row>
    <row r="81" spans="3:10" x14ac:dyDescent="0.35">
      <c r="C81" s="1">
        <v>80</v>
      </c>
      <c r="D81" s="1" t="s">
        <v>18</v>
      </c>
      <c r="E81" s="1">
        <v>2021</v>
      </c>
      <c r="F81" s="7">
        <v>-40817337259</v>
      </c>
      <c r="G81" s="7">
        <f t="shared" si="32"/>
        <v>20183283022</v>
      </c>
      <c r="H81" s="7">
        <f>4796274213+3811048583+13961026+325168967</f>
        <v>8946452789</v>
      </c>
      <c r="I81" s="11">
        <f t="shared" si="33"/>
        <v>-13232659109</v>
      </c>
      <c r="J81" s="9">
        <f t="shared" si="27"/>
        <v>0.98461742777014105</v>
      </c>
    </row>
    <row r="82" spans="3:10" x14ac:dyDescent="0.35">
      <c r="C82" s="1">
        <v>81</v>
      </c>
      <c r="D82" s="1" t="s">
        <v>19</v>
      </c>
      <c r="E82" s="1">
        <v>2017</v>
      </c>
      <c r="F82" s="7">
        <v>5103554000000</v>
      </c>
      <c r="G82" s="7"/>
      <c r="H82" s="7">
        <f>83334000000+39616000000+10927000000</f>
        <v>133877000000</v>
      </c>
      <c r="I82" s="9"/>
      <c r="J82" s="9">
        <f t="shared" si="27"/>
        <v>0</v>
      </c>
    </row>
    <row r="83" spans="3:10" x14ac:dyDescent="0.35">
      <c r="C83" s="1">
        <v>82</v>
      </c>
      <c r="D83" s="1" t="s">
        <v>19</v>
      </c>
      <c r="E83" s="1">
        <v>2018</v>
      </c>
      <c r="F83" s="7">
        <v>4404305000000</v>
      </c>
      <c r="G83" s="7">
        <f>F83-F82</f>
        <v>-699249000000</v>
      </c>
      <c r="H83" s="7">
        <f>93329000000+73791000000+6227000000</f>
        <v>173347000000</v>
      </c>
      <c r="I83" s="11">
        <f>H83-H82</f>
        <v>39470000000</v>
      </c>
      <c r="J83" s="9">
        <f t="shared" si="27"/>
        <v>-0.38645847595882965</v>
      </c>
    </row>
    <row r="84" spans="3:10" x14ac:dyDescent="0.35">
      <c r="C84" s="1">
        <v>83</v>
      </c>
      <c r="D84" s="1" t="s">
        <v>19</v>
      </c>
      <c r="E84" s="1">
        <v>2019</v>
      </c>
      <c r="F84" s="7">
        <v>4519546000000</v>
      </c>
      <c r="G84" s="7">
        <f t="shared" ref="G84:G86" si="34">F84-F83</f>
        <v>115241000000</v>
      </c>
      <c r="H84" s="7">
        <f>90249000000+113506000000+18926000000</f>
        <v>222681000000</v>
      </c>
      <c r="I84" s="11">
        <f t="shared" ref="I84:I86" si="35">H84-H83</f>
        <v>49334000000</v>
      </c>
      <c r="J84" s="9">
        <f t="shared" si="27"/>
        <v>-0.19604726149103721</v>
      </c>
    </row>
    <row r="85" spans="3:10" x14ac:dyDescent="0.35">
      <c r="C85" s="1">
        <v>84</v>
      </c>
      <c r="D85" s="1" t="s">
        <v>19</v>
      </c>
      <c r="E85" s="1">
        <v>2020</v>
      </c>
      <c r="F85" s="7">
        <v>2981118000000</v>
      </c>
      <c r="G85" s="7">
        <f t="shared" si="34"/>
        <v>-1538428000000</v>
      </c>
      <c r="H85" s="7">
        <f>88197000000+196420000000+35719000000</f>
        <v>320336000000</v>
      </c>
      <c r="I85" s="11">
        <f t="shared" si="35"/>
        <v>97655000000</v>
      </c>
      <c r="J85" s="9">
        <f t="shared" si="27"/>
        <v>-0.82090917923046058</v>
      </c>
    </row>
    <row r="86" spans="3:10" x14ac:dyDescent="0.35">
      <c r="C86" s="1">
        <v>85</v>
      </c>
      <c r="D86" s="1" t="s">
        <v>19</v>
      </c>
      <c r="E86" s="1">
        <v>2021</v>
      </c>
      <c r="F86" s="7">
        <v>2854892000000</v>
      </c>
      <c r="G86" s="7">
        <f t="shared" si="34"/>
        <v>-126226000000</v>
      </c>
      <c r="H86" s="7">
        <f>45881000000+89495000000+190295000000+20527000000</f>
        <v>346198000000</v>
      </c>
      <c r="I86" s="11">
        <f t="shared" si="35"/>
        <v>25862000000</v>
      </c>
      <c r="J86" s="9">
        <f t="shared" si="27"/>
        <v>-0.11891684740795538</v>
      </c>
    </row>
    <row r="87" spans="3:10" x14ac:dyDescent="0.35">
      <c r="C87" s="1">
        <v>86</v>
      </c>
      <c r="D87" s="1" t="s">
        <v>20</v>
      </c>
      <c r="E87" s="1">
        <v>2017</v>
      </c>
      <c r="F87" s="7">
        <f>1086555000000+237560000000</f>
        <v>1324115000000</v>
      </c>
      <c r="G87" s="7"/>
      <c r="H87" s="7">
        <f>18649664000000+53211000000</f>
        <v>18702875000000</v>
      </c>
      <c r="I87" s="9"/>
      <c r="J87" s="9">
        <f t="shared" si="27"/>
        <v>0</v>
      </c>
    </row>
    <row r="88" spans="3:10" x14ac:dyDescent="0.35">
      <c r="C88" s="1">
        <v>87</v>
      </c>
      <c r="D88" s="1" t="s">
        <v>20</v>
      </c>
      <c r="E88" s="1">
        <v>2018</v>
      </c>
      <c r="F88" s="7">
        <f>1289827000000+257664000000</f>
        <v>1547491000000</v>
      </c>
      <c r="G88" s="7">
        <f>F88-F87</f>
        <v>223376000000</v>
      </c>
      <c r="H88" s="7">
        <f>22294572000000+314239000000</f>
        <v>22608811000000</v>
      </c>
      <c r="I88" s="11">
        <f>H88-H87</f>
        <v>3905936000000</v>
      </c>
      <c r="J88" s="9">
        <f t="shared" si="27"/>
        <v>-2.8414467825292611E-2</v>
      </c>
    </row>
    <row r="89" spans="3:10" x14ac:dyDescent="0.35">
      <c r="C89" s="1">
        <v>88</v>
      </c>
      <c r="D89" s="1" t="s">
        <v>20</v>
      </c>
      <c r="E89" s="1">
        <v>2019</v>
      </c>
      <c r="F89" s="7">
        <f>1113085000000+331824000000</f>
        <v>1444909000000</v>
      </c>
      <c r="G89" s="7">
        <f t="shared" ref="G89:G91" si="36">F89-F88</f>
        <v>-102582000000</v>
      </c>
      <c r="H89" s="7">
        <f>26429707000000+640049000000</f>
        <v>27069756000000</v>
      </c>
      <c r="I89" s="11">
        <f t="shared" ref="I89:I91" si="37">H89-H88</f>
        <v>4460945000000</v>
      </c>
      <c r="J89" s="9">
        <f t="shared" si="27"/>
        <v>-0.23578990407649794</v>
      </c>
    </row>
    <row r="90" spans="3:10" x14ac:dyDescent="0.35">
      <c r="C90" s="1">
        <v>89</v>
      </c>
      <c r="D90" s="1" t="s">
        <v>20</v>
      </c>
      <c r="E90" s="1">
        <v>2020</v>
      </c>
      <c r="F90" s="7">
        <f>1247061000000+256382000000</f>
        <v>1503443000000</v>
      </c>
      <c r="G90" s="7">
        <f t="shared" si="36"/>
        <v>58534000000</v>
      </c>
      <c r="H90" s="7">
        <f>29579069000000+666193000000</f>
        <v>30245262000000</v>
      </c>
      <c r="I90" s="11">
        <f t="shared" si="37"/>
        <v>3175506000000</v>
      </c>
      <c r="J90" s="9">
        <f t="shared" si="27"/>
        <v>-6.6058547871157253E-2</v>
      </c>
    </row>
    <row r="91" spans="3:10" x14ac:dyDescent="0.35">
      <c r="C91" s="1">
        <v>90</v>
      </c>
      <c r="D91" s="1" t="s">
        <v>20</v>
      </c>
      <c r="E91" s="1">
        <v>2021</v>
      </c>
      <c r="F91" s="7">
        <f>1513182000000+227773000000</f>
        <v>1740955000000</v>
      </c>
      <c r="G91" s="7">
        <f t="shared" si="36"/>
        <v>237512000000</v>
      </c>
      <c r="H91" s="7">
        <f>33429580000000+331593000000</f>
        <v>33761173000000</v>
      </c>
      <c r="I91" s="11">
        <f t="shared" si="37"/>
        <v>3515911000000</v>
      </c>
      <c r="J91" s="9">
        <f t="shared" si="27"/>
        <v>3.2285607006798861E-2</v>
      </c>
    </row>
    <row r="92" spans="3:10" x14ac:dyDescent="0.35">
      <c r="C92" s="1">
        <v>91</v>
      </c>
      <c r="D92" s="1" t="s">
        <v>21</v>
      </c>
      <c r="E92" s="1">
        <v>2017</v>
      </c>
      <c r="F92" s="7">
        <v>32883257000000</v>
      </c>
      <c r="G92" s="7"/>
      <c r="H92" s="7">
        <f>1520255000000+3567000000+3979434000000+726170000000+18365482000000+185015000000+475422000000+845229000000</f>
        <v>26100574000000</v>
      </c>
      <c r="I92" s="9"/>
      <c r="J92" s="9">
        <f t="shared" si="27"/>
        <v>0</v>
      </c>
    </row>
    <row r="93" spans="3:10" x14ac:dyDescent="0.35">
      <c r="C93" s="1">
        <v>92</v>
      </c>
      <c r="D93" s="1" t="s">
        <v>21</v>
      </c>
      <c r="E93" s="1">
        <v>2018</v>
      </c>
      <c r="F93" s="7">
        <v>37377268000000</v>
      </c>
      <c r="G93" s="7">
        <f>F93-F92</f>
        <v>4494011000000</v>
      </c>
      <c r="H93" s="7">
        <f>1735809000000+2295000000+4415833000000+960829000000+19214056000000+243250000000+1058913000000+1241709000000</f>
        <v>28872694000000</v>
      </c>
      <c r="I93" s="11">
        <f>H93-H92</f>
        <v>2772120000000</v>
      </c>
      <c r="J93" s="9">
        <f t="shared" si="27"/>
        <v>2.4221977439788892E-2</v>
      </c>
    </row>
    <row r="94" spans="3:10" x14ac:dyDescent="0.35">
      <c r="C94" s="1">
        <v>93</v>
      </c>
      <c r="D94" s="1" t="s">
        <v>21</v>
      </c>
      <c r="E94" s="1">
        <v>2019</v>
      </c>
      <c r="F94" s="7">
        <v>41919335000000</v>
      </c>
      <c r="G94" s="7">
        <f t="shared" ref="G94:G96" si="38">F94-F93</f>
        <v>4542067000000</v>
      </c>
      <c r="H94" s="7">
        <f>2783341000000+922000000+3996536000000+1118050000000+21314497000000+265212000000+503637000000+1785782000000</f>
        <v>31767977000000</v>
      </c>
      <c r="I94" s="11">
        <f t="shared" ref="I94:I96" si="39">H94-H93</f>
        <v>2895283000000</v>
      </c>
      <c r="J94" s="9">
        <f t="shared" si="27"/>
        <v>1.721414103161896E-2</v>
      </c>
    </row>
    <row r="95" spans="3:10" x14ac:dyDescent="0.35">
      <c r="C95" s="1">
        <v>94</v>
      </c>
      <c r="D95" s="1" t="s">
        <v>21</v>
      </c>
      <c r="E95" s="1">
        <v>2020</v>
      </c>
      <c r="F95" s="7">
        <v>38259352000000</v>
      </c>
      <c r="G95" s="7">
        <f t="shared" si="38"/>
        <v>-3659983000000</v>
      </c>
      <c r="H95" s="7">
        <f>2229745000000+526000000+3700987000000+1013362000000+18878373000000+153577000000+976673000000+1476148000000</f>
        <v>28429391000000</v>
      </c>
      <c r="I95" s="11">
        <f t="shared" si="39"/>
        <v>-3338586000000</v>
      </c>
      <c r="J95" s="9">
        <f t="shared" si="27"/>
        <v>2.1771872050361352E-2</v>
      </c>
    </row>
    <row r="96" spans="3:10" x14ac:dyDescent="0.35">
      <c r="C96" s="1">
        <v>95</v>
      </c>
      <c r="D96" s="1" t="s">
        <v>21</v>
      </c>
      <c r="E96" s="1">
        <v>2021</v>
      </c>
      <c r="F96" s="7">
        <v>38533098000000</v>
      </c>
      <c r="G96" s="7">
        <f t="shared" si="38"/>
        <v>273746000000</v>
      </c>
      <c r="H96" s="7">
        <f>2042898000000+300613000000+2816748000000+1889817000000+16067805000000+247165000000+385163000000+1569255000000</f>
        <v>25319464000000</v>
      </c>
      <c r="I96" s="11">
        <f t="shared" si="39"/>
        <v>-3109927000000</v>
      </c>
      <c r="J96" s="9">
        <f t="shared" si="27"/>
        <v>0.12993169948652342</v>
      </c>
    </row>
    <row r="97" spans="3:10" x14ac:dyDescent="0.35">
      <c r="C97" s="1">
        <v>96</v>
      </c>
      <c r="D97" s="1" t="s">
        <v>22</v>
      </c>
      <c r="E97" s="1">
        <v>2017</v>
      </c>
      <c r="F97" s="7">
        <v>2154431000000</v>
      </c>
      <c r="G97" s="7"/>
      <c r="H97" s="7">
        <f>6796231000000+57981000000</f>
        <v>6854212000000</v>
      </c>
      <c r="I97" s="9"/>
      <c r="J97" s="9">
        <f t="shared" si="27"/>
        <v>0</v>
      </c>
    </row>
    <row r="98" spans="3:10" x14ac:dyDescent="0.35">
      <c r="C98" s="1">
        <v>97</v>
      </c>
      <c r="D98" s="1" t="s">
        <v>22</v>
      </c>
      <c r="E98" s="1">
        <v>2018</v>
      </c>
      <c r="F98" s="7">
        <v>2616144000000</v>
      </c>
      <c r="G98" s="7">
        <f>F98-F97</f>
        <v>461713000000</v>
      </c>
      <c r="H98" s="7">
        <f>7243068000000+72344000000</f>
        <v>7315412000000</v>
      </c>
      <c r="I98" s="11">
        <f>H98-H97</f>
        <v>461200000000</v>
      </c>
      <c r="J98" s="9">
        <f t="shared" si="27"/>
        <v>0.11344110071870082</v>
      </c>
    </row>
    <row r="99" spans="3:10" x14ac:dyDescent="0.35">
      <c r="C99" s="1">
        <v>98</v>
      </c>
      <c r="D99" s="1" t="s">
        <v>22</v>
      </c>
      <c r="E99" s="1">
        <v>2019</v>
      </c>
      <c r="F99" s="7">
        <v>2643687000000</v>
      </c>
      <c r="G99" s="7">
        <f t="shared" ref="G99:G100" si="40">F99-F98</f>
        <v>27543000000</v>
      </c>
      <c r="H99" s="7">
        <f>7205215000000+46574000000</f>
        <v>7251789000000</v>
      </c>
      <c r="I99" s="11">
        <f t="shared" ref="I99:I100" si="41">H99-H98</f>
        <v>-63623000000</v>
      </c>
      <c r="J99" s="9">
        <f t="shared" si="27"/>
        <v>1.9191825586286914E-2</v>
      </c>
    </row>
    <row r="100" spans="3:10" x14ac:dyDescent="0.35">
      <c r="C100" s="1">
        <v>99</v>
      </c>
      <c r="D100" s="1" t="s">
        <v>22</v>
      </c>
      <c r="E100" s="1">
        <v>2020</v>
      </c>
      <c r="F100" s="7">
        <v>2000850000000</v>
      </c>
      <c r="G100" s="7">
        <f t="shared" si="40"/>
        <v>-642837000000</v>
      </c>
      <c r="H100" s="7">
        <f>4280120000000+15070000000+23371000000+42988000000</f>
        <v>4361549000000</v>
      </c>
      <c r="I100" s="11">
        <f t="shared" si="41"/>
        <v>-2890240000000</v>
      </c>
      <c r="J100" s="9">
        <f t="shared" si="27"/>
        <v>0.34138169941788371</v>
      </c>
    </row>
    <row r="101" spans="3:10" x14ac:dyDescent="0.35">
      <c r="C101" s="1">
        <v>100</v>
      </c>
      <c r="D101" s="1" t="s">
        <v>22</v>
      </c>
      <c r="E101" s="1">
        <v>2021</v>
      </c>
      <c r="F101" s="7">
        <v>1570983000000</v>
      </c>
      <c r="G101" s="7">
        <f>F101-F100</f>
        <v>-429867000000</v>
      </c>
      <c r="H101" s="7">
        <f>4051367000000+240153000000+124119000000+24206000000</f>
        <v>4439845000000</v>
      </c>
      <c r="I101" s="11">
        <f>H101-H100</f>
        <v>78296000000</v>
      </c>
      <c r="J101" s="9">
        <f t="shared" si="27"/>
        <v>-0.29126416348608919</v>
      </c>
    </row>
    <row r="102" spans="3:10" ht="15.5" x14ac:dyDescent="0.35">
      <c r="C102" s="1">
        <v>101</v>
      </c>
      <c r="D102" s="2" t="s">
        <v>78</v>
      </c>
      <c r="E102" s="25">
        <v>2017</v>
      </c>
      <c r="F102" s="27">
        <v>201227236000</v>
      </c>
      <c r="G102" s="7"/>
      <c r="H102" s="27">
        <f>217540042000+9764268000+480404951000</f>
        <v>707709261000</v>
      </c>
      <c r="I102" s="9"/>
      <c r="J102" s="9">
        <f t="shared" si="27"/>
        <v>0</v>
      </c>
    </row>
    <row r="103" spans="3:10" ht="15.5" x14ac:dyDescent="0.35">
      <c r="C103" s="1">
        <v>102</v>
      </c>
      <c r="D103" s="2"/>
      <c r="E103" s="25">
        <v>2018</v>
      </c>
      <c r="F103" s="27">
        <v>198649480000</v>
      </c>
      <c r="G103" s="7">
        <f>F103-F102</f>
        <v>-2577756000</v>
      </c>
      <c r="H103" s="27">
        <f>175236399000+6916864000+488170445000</f>
        <v>670323708000</v>
      </c>
      <c r="I103" s="11">
        <f>H103-H102</f>
        <v>-37385553000</v>
      </c>
      <c r="J103" s="9">
        <f t="shared" si="27"/>
        <v>4.2795982146517489E-2</v>
      </c>
    </row>
    <row r="104" spans="3:10" ht="15.5" x14ac:dyDescent="0.35">
      <c r="C104" s="1">
        <v>103</v>
      </c>
      <c r="D104" s="2"/>
      <c r="E104" s="25">
        <v>2019</v>
      </c>
      <c r="F104" s="27">
        <v>204107653000</v>
      </c>
      <c r="G104" s="7">
        <f t="shared" ref="G104:G106" si="42">F104-F103</f>
        <v>5458173000</v>
      </c>
      <c r="H104" s="27">
        <f>192392661000+5825053000+780492000+505689763000</f>
        <v>704687969000</v>
      </c>
      <c r="I104" s="11">
        <f t="shared" ref="I104:I105" si="43">H104-H103</f>
        <v>34364261000</v>
      </c>
      <c r="J104" s="9">
        <f t="shared" si="27"/>
        <v>-2.2023577821202442E-2</v>
      </c>
    </row>
    <row r="105" spans="3:10" ht="15.5" x14ac:dyDescent="0.35">
      <c r="C105" s="1">
        <v>104</v>
      </c>
      <c r="D105" s="2"/>
      <c r="E105" s="25">
        <v>2020</v>
      </c>
      <c r="F105" s="27">
        <v>181587155000</v>
      </c>
      <c r="G105" s="7">
        <f t="shared" si="42"/>
        <v>-22520498000</v>
      </c>
      <c r="H105" s="27">
        <f>135512003000+6365584000+716170000+314704061000</f>
        <v>457297818000</v>
      </c>
      <c r="I105" s="11">
        <f t="shared" si="43"/>
        <v>-247390151000</v>
      </c>
      <c r="J105" s="9">
        <f t="shared" si="27"/>
        <v>0.41696224961383077</v>
      </c>
    </row>
    <row r="106" spans="3:10" ht="15.5" x14ac:dyDescent="0.35">
      <c r="C106" s="1">
        <v>105</v>
      </c>
      <c r="D106" s="2"/>
      <c r="E106" s="25">
        <v>2021</v>
      </c>
      <c r="F106" s="27">
        <v>172428003000</v>
      </c>
      <c r="G106" s="7">
        <f t="shared" si="42"/>
        <v>-9159152000</v>
      </c>
      <c r="H106" s="27">
        <f>124483909000+17002410000+664490000+269768559000</f>
        <v>411919368000</v>
      </c>
      <c r="I106" s="11">
        <f>H106-H105</f>
        <v>-45378450000</v>
      </c>
      <c r="J106" s="9">
        <f t="shared" si="27"/>
        <v>5.7044725183113133E-2</v>
      </c>
    </row>
    <row r="107" spans="3:10" ht="15.5" x14ac:dyDescent="0.35">
      <c r="C107" s="1">
        <v>106</v>
      </c>
      <c r="D107" s="2" t="s">
        <v>79</v>
      </c>
      <c r="E107" s="25">
        <v>2017</v>
      </c>
      <c r="F107" s="27">
        <f>3133312000000+767409000000</f>
        <v>3900721000000</v>
      </c>
      <c r="G107" s="7"/>
      <c r="H107" s="27">
        <f>3601000000+70479820000000+170227000000</f>
        <v>70653648000000</v>
      </c>
      <c r="I107" s="9"/>
      <c r="J107" s="9">
        <f t="shared" si="27"/>
        <v>0</v>
      </c>
    </row>
    <row r="108" spans="3:10" ht="15.5" x14ac:dyDescent="0.35">
      <c r="C108" s="1">
        <v>107</v>
      </c>
      <c r="D108" s="2"/>
      <c r="E108" s="25">
        <v>2018</v>
      </c>
      <c r="F108" s="27">
        <f>2593143000000+783593000000</f>
        <v>3376736000000</v>
      </c>
      <c r="G108" s="7">
        <f>F108-F107</f>
        <v>-523985000000</v>
      </c>
      <c r="H108" s="27">
        <f>113000000+64365307000000+134915000000</f>
        <v>64500335000000</v>
      </c>
      <c r="I108" s="28">
        <f>H108-H107</f>
        <v>-6153313000000</v>
      </c>
      <c r="J108" s="9">
        <f>((G108/F108)-(I108/H108))</f>
        <v>-5.9775291330390945E-2</v>
      </c>
    </row>
    <row r="109" spans="3:10" ht="15.5" x14ac:dyDescent="0.35">
      <c r="C109" s="1">
        <v>108</v>
      </c>
      <c r="D109" s="2"/>
      <c r="E109" s="25">
        <v>2019</v>
      </c>
      <c r="F109" s="27">
        <f>2014539000000+783880000000</f>
        <v>2798419000000</v>
      </c>
      <c r="G109" s="7">
        <f>F109-F108</f>
        <v>-578317000000</v>
      </c>
      <c r="H109" s="27">
        <f>67835773000000+111321000000</f>
        <v>67947094000000</v>
      </c>
      <c r="I109" s="28">
        <f t="shared" ref="I109:I111" si="44">H109-H108</f>
        <v>3446759000000</v>
      </c>
      <c r="J109" s="9">
        <f t="shared" ref="J109:J111" si="45">((G109/F109)-(I109/H109))</f>
        <v>-0.2573855734738148</v>
      </c>
    </row>
    <row r="110" spans="3:10" ht="15.5" x14ac:dyDescent="0.35">
      <c r="C110" s="1">
        <v>109</v>
      </c>
      <c r="D110" s="2"/>
      <c r="E110" s="25">
        <v>2020</v>
      </c>
      <c r="F110" s="27">
        <f>552056000000+1030749000000</f>
        <v>1582805000000</v>
      </c>
      <c r="G110" s="7">
        <f t="shared" ref="G110:G111" si="46">F110-F109</f>
        <v>-1215614000000</v>
      </c>
      <c r="H110" s="27">
        <f>4555000000+56266216000000+66182000000</f>
        <v>56336953000000</v>
      </c>
      <c r="I110" s="28">
        <f t="shared" si="44"/>
        <v>-11610141000000</v>
      </c>
      <c r="J110" s="9">
        <f t="shared" si="45"/>
        <v>-0.56192854845841889</v>
      </c>
    </row>
    <row r="111" spans="3:10" ht="15.5" x14ac:dyDescent="0.35">
      <c r="C111" s="1">
        <v>110</v>
      </c>
      <c r="D111" s="2"/>
      <c r="E111" s="25">
        <v>2021</v>
      </c>
      <c r="F111" s="27">
        <f>829517000000+151165000000</f>
        <v>980682000000</v>
      </c>
      <c r="G111" s="7">
        <f t="shared" si="46"/>
        <v>-602123000000</v>
      </c>
      <c r="H111" s="27">
        <f>9898000000+53850273000000+5352000000</f>
        <v>53865523000000</v>
      </c>
      <c r="I111" s="28">
        <f t="shared" si="44"/>
        <v>-2471430000000</v>
      </c>
      <c r="J111" s="9">
        <f t="shared" si="45"/>
        <v>-0.56810246023198452</v>
      </c>
    </row>
    <row r="112" spans="3:10" ht="15.5" x14ac:dyDescent="0.35">
      <c r="C112" s="1">
        <v>111</v>
      </c>
      <c r="D112" s="2" t="s">
        <v>80</v>
      </c>
      <c r="E112" s="25">
        <v>2017</v>
      </c>
      <c r="F112" s="27">
        <f>692946420895+34608230981+129642729172+15040810</f>
        <v>857212421858</v>
      </c>
      <c r="G112" s="7"/>
      <c r="H112" s="27">
        <f>6648063484086+175402797233</f>
        <v>6823466281319</v>
      </c>
      <c r="I112" s="9"/>
      <c r="J112" s="9">
        <f t="shared" si="27"/>
        <v>0</v>
      </c>
    </row>
    <row r="113" spans="3:10" ht="15.5" x14ac:dyDescent="0.35">
      <c r="C113" s="1">
        <v>112</v>
      </c>
      <c r="D113" s="2"/>
      <c r="E113" s="25">
        <v>2018</v>
      </c>
      <c r="F113" s="27">
        <f>686969545419+45920580711+101718350405-24902821</f>
        <v>834583573714</v>
      </c>
      <c r="G113" s="7">
        <f>F113-F112</f>
        <v>-22628848144</v>
      </c>
      <c r="H113" s="27">
        <f>7118535582023+134543234500</f>
        <v>7253078816523</v>
      </c>
      <c r="I113" s="28">
        <f>H113-H112</f>
        <v>429612535204</v>
      </c>
      <c r="J113" s="9">
        <f t="shared" si="27"/>
        <v>-8.634568683892499E-2</v>
      </c>
    </row>
    <row r="114" spans="3:10" ht="15.5" x14ac:dyDescent="0.35">
      <c r="C114" s="1">
        <v>113</v>
      </c>
      <c r="D114" s="2"/>
      <c r="E114" s="25">
        <v>2019</v>
      </c>
      <c r="F114" s="27">
        <f>700450171033+49370821296+104668716998</f>
        <v>854489709327</v>
      </c>
      <c r="G114" s="7">
        <f t="shared" ref="G114:G116" si="47">F114-F113</f>
        <v>19906135613</v>
      </c>
      <c r="H114" s="27">
        <f>7648330156117+115957136170</f>
        <v>7764287292287</v>
      </c>
      <c r="I114" s="28">
        <f t="shared" ref="I114:I116" si="48">H114-H113</f>
        <v>511208475764</v>
      </c>
      <c r="J114" s="9">
        <f t="shared" si="27"/>
        <v>-4.2545070959552143E-2</v>
      </c>
    </row>
    <row r="115" spans="3:10" ht="15.5" x14ac:dyDescent="0.35">
      <c r="C115" s="1">
        <v>114</v>
      </c>
      <c r="D115" s="2"/>
      <c r="E115" s="25">
        <v>2020</v>
      </c>
      <c r="F115" s="27">
        <f>795586121047+33163313751+155235110966</f>
        <v>983984545764</v>
      </c>
      <c r="G115" s="7">
        <f t="shared" si="47"/>
        <v>129494836437</v>
      </c>
      <c r="H115" s="27">
        <f>7041997767384+1429258927</f>
        <v>7043427026311</v>
      </c>
      <c r="I115" s="28">
        <f t="shared" si="48"/>
        <v>-720860265976</v>
      </c>
      <c r="J115" s="9">
        <f t="shared" si="27"/>
        <v>0.23394761363225924</v>
      </c>
    </row>
    <row r="116" spans="3:10" ht="15.5" x14ac:dyDescent="0.35">
      <c r="C116" s="1">
        <v>115</v>
      </c>
      <c r="D116" s="2"/>
      <c r="E116" s="25">
        <v>2021</v>
      </c>
      <c r="F116" s="27">
        <f>914973503707+51143088804+162709911551</f>
        <v>1128826504062</v>
      </c>
      <c r="G116" s="7">
        <f t="shared" si="47"/>
        <v>144841958298</v>
      </c>
      <c r="H116" s="27">
        <f>7794367992285+13921857917</f>
        <v>7808289850202</v>
      </c>
      <c r="I116" s="28">
        <f t="shared" si="48"/>
        <v>764862823891</v>
      </c>
      <c r="J116" s="9">
        <f t="shared" si="27"/>
        <v>3.0356745664382956E-2</v>
      </c>
    </row>
    <row r="117" spans="3:10" ht="15.5" x14ac:dyDescent="0.35">
      <c r="C117" s="1">
        <v>116</v>
      </c>
      <c r="D117" s="2" t="s">
        <v>81</v>
      </c>
      <c r="E117" s="25">
        <v>2017</v>
      </c>
      <c r="F117" s="27">
        <f>73018094000000+385414000000+19271287000000</f>
        <v>92674795000000</v>
      </c>
      <c r="G117" s="7"/>
      <c r="H117" s="27">
        <f>10654353000000+162912000000+689559288000000+17287612000000+2385483000000</f>
        <v>720049648000000</v>
      </c>
      <c r="I117" s="9"/>
      <c r="J117" s="9">
        <f t="shared" si="27"/>
        <v>0</v>
      </c>
    </row>
    <row r="118" spans="3:10" ht="15.5" x14ac:dyDescent="0.35">
      <c r="C118" s="1">
        <v>117</v>
      </c>
      <c r="D118" s="2"/>
      <c r="E118" s="25">
        <v>2018</v>
      </c>
      <c r="F118" s="27">
        <f>77665772000000+945722000000+23425430000000</f>
        <v>102036924000000</v>
      </c>
      <c r="G118" s="7">
        <f>F118-F117</f>
        <v>9362129000000</v>
      </c>
      <c r="H118" s="27">
        <f>27442690000000+485810000000+784992175000000+19681260000000+3321846000000+11643003000000</f>
        <v>847566784000000</v>
      </c>
      <c r="I118" s="28">
        <f>H118-H117</f>
        <v>127517136000000</v>
      </c>
      <c r="J118" s="9">
        <f t="shared" si="27"/>
        <v>-5.8698477565711116E-2</v>
      </c>
    </row>
    <row r="119" spans="3:10" ht="15.5" x14ac:dyDescent="0.35">
      <c r="C119" s="1">
        <v>118</v>
      </c>
      <c r="D119" s="2"/>
      <c r="E119" s="25">
        <v>2019</v>
      </c>
      <c r="F119" s="27">
        <f>81707305000000+1010728000000+28439130000000</f>
        <v>111157163000000</v>
      </c>
      <c r="G119" s="7">
        <f t="shared" ref="G119:G121" si="49">F119-F118</f>
        <v>9120239000000</v>
      </c>
      <c r="H119" s="27">
        <f>34185258000000+210396000000+839067353000000+25021168000000+4104096000000+9346063000000</f>
        <v>911934334000000</v>
      </c>
      <c r="I119" s="28">
        <f t="shared" ref="I119:I121" si="50">H119-H118</f>
        <v>64367550000000</v>
      </c>
      <c r="J119" s="9">
        <f t="shared" si="27"/>
        <v>1.1464608634831952E-2</v>
      </c>
    </row>
    <row r="120" spans="3:10" ht="15.5" x14ac:dyDescent="0.35">
      <c r="C120" s="1">
        <v>119</v>
      </c>
      <c r="D120" s="2"/>
      <c r="E120" s="25">
        <v>2020</v>
      </c>
      <c r="F120" s="27">
        <f>79209917000000+881651000000+29463839000000</f>
        <v>109555407000000</v>
      </c>
      <c r="G120" s="7">
        <f t="shared" si="49"/>
        <v>-1601756000000</v>
      </c>
      <c r="H120" s="27">
        <f>26246814000000+1576659000000+834293205000000+37466184000000+3406164000000+6271176000000</f>
        <v>909260202000000</v>
      </c>
      <c r="I120" s="28">
        <f t="shared" si="50"/>
        <v>-2674132000000</v>
      </c>
      <c r="J120" s="9">
        <f t="shared" si="27"/>
        <v>-1.1679513176414759E-2</v>
      </c>
    </row>
    <row r="121" spans="3:10" ht="15.5" x14ac:dyDescent="0.35">
      <c r="C121" s="1">
        <v>120</v>
      </c>
      <c r="D121" s="2"/>
      <c r="E121" s="25">
        <v>2021</v>
      </c>
      <c r="F121" s="27">
        <f>114094429000000+1043075000000+41215807000000</f>
        <v>156353311000000</v>
      </c>
      <c r="G121" s="7">
        <f t="shared" si="49"/>
        <v>46797904000000</v>
      </c>
      <c r="H121" s="27">
        <f>28521876000000+730083000000+909582789000000+7748594000000+37706653000000+9066005000000</f>
        <v>993356000000000</v>
      </c>
      <c r="I121" s="28">
        <f t="shared" si="50"/>
        <v>84095798000000</v>
      </c>
      <c r="J121" s="9">
        <f t="shared" si="27"/>
        <v>0.21465041804099844</v>
      </c>
    </row>
    <row r="122" spans="3:10" ht="15.5" x14ac:dyDescent="0.35">
      <c r="C122" s="1">
        <v>121</v>
      </c>
      <c r="D122" s="2" t="s">
        <v>82</v>
      </c>
      <c r="E122" s="25">
        <v>2017</v>
      </c>
      <c r="F122" s="27">
        <f>309479263652+14822566378</f>
        <v>324301830030</v>
      </c>
      <c r="G122" s="7"/>
      <c r="H122" s="27">
        <v>3788185809481</v>
      </c>
      <c r="I122" s="9"/>
      <c r="J122" s="9">
        <f t="shared" si="27"/>
        <v>0</v>
      </c>
    </row>
    <row r="123" spans="3:10" ht="15.5" x14ac:dyDescent="0.35">
      <c r="C123" s="1">
        <v>122</v>
      </c>
      <c r="D123" s="2"/>
      <c r="E123" s="25">
        <v>2018</v>
      </c>
      <c r="F123" s="27">
        <f>286341086643+13436985688</f>
        <v>299778072331</v>
      </c>
      <c r="G123" s="7">
        <f>F123-F122</f>
        <v>-24523757699</v>
      </c>
      <c r="H123" s="27">
        <v>3681321123146</v>
      </c>
      <c r="I123" s="28">
        <f>H123-H122</f>
        <v>-106864686335</v>
      </c>
      <c r="J123" s="9">
        <f t="shared" si="27"/>
        <v>-5.2777480450567058E-2</v>
      </c>
    </row>
    <row r="124" spans="3:10" ht="15.5" x14ac:dyDescent="0.35">
      <c r="C124" s="1">
        <v>123</v>
      </c>
      <c r="D124" s="2"/>
      <c r="E124" s="25">
        <v>2019</v>
      </c>
      <c r="F124" s="27">
        <f>216098626449+182626120378</f>
        <v>398724746827</v>
      </c>
      <c r="G124" s="7">
        <f t="shared" ref="G124:G126" si="51">F124-F123</f>
        <v>98946674496</v>
      </c>
      <c r="H124" s="27">
        <v>3660573684020</v>
      </c>
      <c r="I124" s="28">
        <f t="shared" ref="I124:I126" si="52">H124-H123</f>
        <v>-20747439126</v>
      </c>
      <c r="J124" s="9">
        <f t="shared" si="27"/>
        <v>0.25382565726059991</v>
      </c>
    </row>
    <row r="125" spans="3:10" ht="15.5" x14ac:dyDescent="0.35">
      <c r="C125" s="1">
        <v>124</v>
      </c>
      <c r="D125" s="2"/>
      <c r="E125" s="25">
        <v>2020</v>
      </c>
      <c r="F125" s="27">
        <f>158230923413+86782107947</f>
        <v>245013031360</v>
      </c>
      <c r="G125" s="7">
        <f t="shared" si="51"/>
        <v>-153711715467</v>
      </c>
      <c r="H125" s="27">
        <v>3562338771925</v>
      </c>
      <c r="I125" s="28">
        <f t="shared" si="52"/>
        <v>-98234912095</v>
      </c>
      <c r="J125" s="9">
        <f t="shared" si="27"/>
        <v>-0.59978542797010925</v>
      </c>
    </row>
    <row r="126" spans="3:10" ht="15.5" x14ac:dyDescent="0.35">
      <c r="C126" s="1">
        <v>125</v>
      </c>
      <c r="D126" s="2"/>
      <c r="E126" s="25">
        <v>2021</v>
      </c>
      <c r="F126" s="27">
        <f>315089543350+128901993602</f>
        <v>443991536952</v>
      </c>
      <c r="G126" s="7">
        <f t="shared" si="51"/>
        <v>198978505592</v>
      </c>
      <c r="H126" s="27">
        <v>4174843399023</v>
      </c>
      <c r="I126" s="28">
        <f t="shared" si="52"/>
        <v>612504627098</v>
      </c>
      <c r="J126" s="9">
        <f t="shared" si="27"/>
        <v>0.30144513146861202</v>
      </c>
    </row>
    <row r="127" spans="3:10" ht="15.5" x14ac:dyDescent="0.35">
      <c r="C127" s="1">
        <v>126</v>
      </c>
      <c r="D127" s="2" t="s">
        <v>83</v>
      </c>
      <c r="E127" s="25">
        <v>2017</v>
      </c>
      <c r="F127" s="27">
        <f>125513000000+8689000000</f>
        <v>134202000000</v>
      </c>
      <c r="G127" s="7"/>
      <c r="H127" s="27">
        <f>1429038000000+13246000000</f>
        <v>1442284000000</v>
      </c>
      <c r="I127" s="9"/>
      <c r="J127" s="9">
        <f t="shared" si="27"/>
        <v>0</v>
      </c>
    </row>
    <row r="128" spans="3:10" ht="15.5" x14ac:dyDescent="0.35">
      <c r="C128" s="1">
        <v>127</v>
      </c>
      <c r="D128" s="2"/>
      <c r="E128" s="25">
        <v>2018</v>
      </c>
      <c r="F128" s="27">
        <f>142583000000+8549000000</f>
        <v>151132000000</v>
      </c>
      <c r="G128" s="7">
        <f>F128-F127</f>
        <v>16930000000</v>
      </c>
      <c r="H128" s="27">
        <f>1724614000000+17509000000</f>
        <v>1742123000000</v>
      </c>
      <c r="I128" s="28">
        <f>H128-H127</f>
        <v>299839000000</v>
      </c>
      <c r="J128" s="9">
        <f t="shared" si="27"/>
        <v>-6.0089989425555074E-2</v>
      </c>
    </row>
    <row r="129" spans="3:10" ht="15.5" x14ac:dyDescent="0.35">
      <c r="C129" s="1">
        <v>128</v>
      </c>
      <c r="D129" s="2"/>
      <c r="E129" s="25">
        <v>2019</v>
      </c>
      <c r="F129" s="27">
        <f>149946000000+20165000000</f>
        <v>170111000000</v>
      </c>
      <c r="G129" s="7">
        <f t="shared" ref="G129:G131" si="53">F129-F128</f>
        <v>18979000000</v>
      </c>
      <c r="H129" s="27">
        <f>2460021000000+16833000000</f>
        <v>2476854000000</v>
      </c>
      <c r="I129" s="28">
        <f t="shared" ref="I129:I131" si="54">H129-H128</f>
        <v>734731000000</v>
      </c>
      <c r="J129" s="9">
        <f t="shared" si="27"/>
        <v>-0.18507047175749314</v>
      </c>
    </row>
    <row r="130" spans="3:10" ht="15.5" x14ac:dyDescent="0.35">
      <c r="C130" s="1">
        <v>129</v>
      </c>
      <c r="D130" s="2"/>
      <c r="E130" s="25">
        <v>2020</v>
      </c>
      <c r="F130" s="27">
        <f>168703000000+73208000000</f>
        <v>241911000000</v>
      </c>
      <c r="G130" s="7">
        <f t="shared" si="53"/>
        <v>71800000000</v>
      </c>
      <c r="H130" s="27">
        <f>2827850000000+41975000000</f>
        <v>2869825000000</v>
      </c>
      <c r="I130" s="28">
        <f t="shared" si="54"/>
        <v>392971000000</v>
      </c>
      <c r="J130" s="9">
        <f t="shared" si="27"/>
        <v>0.15987132693975897</v>
      </c>
    </row>
    <row r="131" spans="3:10" ht="15.5" x14ac:dyDescent="0.35">
      <c r="C131" s="1">
        <v>130</v>
      </c>
      <c r="D131" s="2"/>
      <c r="E131" s="25">
        <v>2021</v>
      </c>
      <c r="F131" s="27">
        <f>211587000000+97372000000</f>
        <v>308959000000</v>
      </c>
      <c r="G131" s="7">
        <f t="shared" si="53"/>
        <v>67048000000</v>
      </c>
      <c r="H131" s="27">
        <f>3566156000000+31290000000+310000000+57202000000</f>
        <v>3654958000000</v>
      </c>
      <c r="I131" s="28">
        <f t="shared" si="54"/>
        <v>785133000000</v>
      </c>
      <c r="J131" s="9">
        <f t="shared" ref="J131:J176" si="55">(G131/F131)-(I131/H131)</f>
        <v>2.1994745684680017E-3</v>
      </c>
    </row>
    <row r="132" spans="3:10" ht="15.5" x14ac:dyDescent="0.35">
      <c r="C132" s="1">
        <v>131</v>
      </c>
      <c r="D132" s="2" t="s">
        <v>84</v>
      </c>
      <c r="E132" s="25">
        <v>2017</v>
      </c>
      <c r="F132" s="27">
        <f>371186000000+3484912000000</f>
        <v>3856098000000</v>
      </c>
      <c r="G132" s="7"/>
      <c r="H132" s="27">
        <f>40527000000+30360407000000</f>
        <v>30400934000000</v>
      </c>
      <c r="I132" s="9"/>
      <c r="J132" s="9">
        <f t="shared" si="55"/>
        <v>0</v>
      </c>
    </row>
    <row r="133" spans="3:10" ht="15.5" x14ac:dyDescent="0.35">
      <c r="C133" s="1">
        <v>132</v>
      </c>
      <c r="D133" s="2"/>
      <c r="E133" s="25">
        <v>2018</v>
      </c>
      <c r="F133" s="27">
        <f>413321000000+3688107000000</f>
        <v>4101428000000</v>
      </c>
      <c r="G133" s="7">
        <f>F133-F132</f>
        <v>245330000000</v>
      </c>
      <c r="H133" s="27">
        <f>34069000000+32694687000000</f>
        <v>32728756000000</v>
      </c>
      <c r="I133" s="28">
        <f>H133-H132</f>
        <v>2327822000000</v>
      </c>
      <c r="J133" s="9">
        <f t="shared" si="55"/>
        <v>-1.1308918939187423E-2</v>
      </c>
    </row>
    <row r="134" spans="3:10" ht="15.5" x14ac:dyDescent="0.35">
      <c r="C134" s="1">
        <v>133</v>
      </c>
      <c r="D134" s="2"/>
      <c r="E134" s="25">
        <v>2019</v>
      </c>
      <c r="F134" s="27">
        <f>3999961000000+473980000000</f>
        <v>4473941000000</v>
      </c>
      <c r="G134" s="7">
        <f t="shared" ref="G134:G136" si="56">F134-F133</f>
        <v>372513000000</v>
      </c>
      <c r="H134" s="27">
        <f>5837520000000+81265000000+37372166000000</f>
        <v>43290951000000</v>
      </c>
      <c r="I134" s="28">
        <f t="shared" ref="I134:I136" si="57">H134-H133</f>
        <v>10562195000000</v>
      </c>
      <c r="J134" s="9">
        <f t="shared" si="55"/>
        <v>-0.16071875619152898</v>
      </c>
    </row>
    <row r="135" spans="3:10" ht="15.5" x14ac:dyDescent="0.35">
      <c r="C135" s="1">
        <v>134</v>
      </c>
      <c r="D135" s="2"/>
      <c r="E135" s="25">
        <v>2020</v>
      </c>
      <c r="F135" s="27">
        <f>4057270000000+417871000000</f>
        <v>4475141000000</v>
      </c>
      <c r="G135" s="7">
        <f t="shared" si="56"/>
        <v>1200000000</v>
      </c>
      <c r="H135" s="27">
        <f>12573044000000+131932000000+40026045000000</f>
        <v>52731021000000</v>
      </c>
      <c r="I135" s="28">
        <f t="shared" si="57"/>
        <v>9440070000000</v>
      </c>
      <c r="J135" s="9">
        <f t="shared" si="55"/>
        <v>-0.17875493598850842</v>
      </c>
    </row>
    <row r="136" spans="3:10" ht="15.5" x14ac:dyDescent="0.35">
      <c r="C136" s="1">
        <v>135</v>
      </c>
      <c r="D136" s="2"/>
      <c r="E136" s="25">
        <v>2021</v>
      </c>
      <c r="F136" s="27">
        <f>4677681000000+806357000000</f>
        <v>5484038000000</v>
      </c>
      <c r="G136" s="7">
        <f t="shared" si="56"/>
        <v>1008897000000</v>
      </c>
      <c r="H136" s="27">
        <f>3420685000000+230019000000+40918142000000</f>
        <v>44568846000000</v>
      </c>
      <c r="I136" s="28">
        <f t="shared" si="57"/>
        <v>-8162175000000</v>
      </c>
      <c r="J136" s="9">
        <f t="shared" si="55"/>
        <v>0.36710606428809545</v>
      </c>
    </row>
    <row r="137" spans="3:10" ht="15.5" x14ac:dyDescent="0.35">
      <c r="C137" s="1">
        <v>136</v>
      </c>
      <c r="D137" s="2" t="s">
        <v>85</v>
      </c>
      <c r="E137" s="25">
        <v>2017</v>
      </c>
      <c r="F137" s="27">
        <v>54453436000000</v>
      </c>
      <c r="G137" s="7"/>
      <c r="H137" s="27">
        <f>24090128000000+2629315000000+817292000000+678292520000000+14782332000000+12290260000000</f>
        <v>732901847000000</v>
      </c>
      <c r="I137" s="9"/>
      <c r="J137" s="9">
        <f t="shared" si="55"/>
        <v>0</v>
      </c>
    </row>
    <row r="138" spans="3:10" ht="15.5" x14ac:dyDescent="0.35">
      <c r="C138" s="1">
        <v>137</v>
      </c>
      <c r="D138" s="2"/>
      <c r="E138" s="25">
        <v>2018</v>
      </c>
      <c r="F138" s="27">
        <v>57329765000000</v>
      </c>
      <c r="G138" s="7">
        <f>F138-F137</f>
        <v>2876329000000</v>
      </c>
      <c r="H138" s="27">
        <f>24809459000000+2097629000000+1798557000000+767761095000000+16826865000000+13592409000000</f>
        <v>826886014000000</v>
      </c>
      <c r="I138" s="28">
        <f>H138-H137</f>
        <v>93984167000000</v>
      </c>
      <c r="J138" s="9">
        <f t="shared" si="55"/>
        <v>-6.3488714338561292E-2</v>
      </c>
    </row>
    <row r="139" spans="3:10" ht="15.5" x14ac:dyDescent="0.35">
      <c r="C139" s="1">
        <v>138</v>
      </c>
      <c r="D139" s="2"/>
      <c r="E139" s="25">
        <v>2019</v>
      </c>
      <c r="F139" s="27">
        <v>61247691000000</v>
      </c>
      <c r="G139" s="7">
        <f t="shared" ref="G139:G141" si="58">F139-F138</f>
        <v>3917926000000</v>
      </c>
      <c r="H139" s="27">
        <f>29104111000000+1955363000000+1617476000000+855846844000000+18211088000000+10058035000000</f>
        <v>916792917000000</v>
      </c>
      <c r="I139" s="28">
        <f t="shared" ref="I139:I141" si="59">H139-H138</f>
        <v>89906903000000</v>
      </c>
      <c r="J139" s="9">
        <f t="shared" si="55"/>
        <v>-3.4098201057010238E-2</v>
      </c>
    </row>
    <row r="140" spans="3:10" ht="15.5" x14ac:dyDescent="0.35">
      <c r="C140" s="1">
        <v>139</v>
      </c>
      <c r="D140" s="2"/>
      <c r="E140" s="25">
        <v>2020</v>
      </c>
      <c r="F140" s="27">
        <v>58021844000000</v>
      </c>
      <c r="G140" s="7">
        <f t="shared" si="58"/>
        <v>-3225847000000</v>
      </c>
      <c r="H140" s="27">
        <f>28308088000000+55094456000000+2578947000000+807874363000000+18649899000000</f>
        <v>912505753000000</v>
      </c>
      <c r="I140" s="28">
        <f t="shared" si="59"/>
        <v>-4287164000000</v>
      </c>
      <c r="J140" s="9">
        <f t="shared" si="55"/>
        <v>-5.0898880404146994E-2</v>
      </c>
    </row>
    <row r="141" spans="3:10" ht="15.5" x14ac:dyDescent="0.35">
      <c r="C141" s="1">
        <v>140</v>
      </c>
      <c r="D141" s="2"/>
      <c r="E141" s="25">
        <v>2021</v>
      </c>
      <c r="F141" s="27">
        <v>74850427000000</v>
      </c>
      <c r="G141" s="7">
        <f t="shared" si="58"/>
        <v>16828583000000</v>
      </c>
      <c r="H141" s="27">
        <f>27817547000000+27317000000000+1669838000000+957636147000000+18633307000000</f>
        <v>1033073839000000</v>
      </c>
      <c r="I141" s="28">
        <f t="shared" si="59"/>
        <v>120568086000000</v>
      </c>
      <c r="J141" s="9">
        <f t="shared" si="55"/>
        <v>0.10812138455299086</v>
      </c>
    </row>
    <row r="142" spans="3:10" ht="15.5" x14ac:dyDescent="0.35">
      <c r="C142" s="1">
        <v>141</v>
      </c>
      <c r="D142" s="2" t="s">
        <v>86</v>
      </c>
      <c r="E142" s="25">
        <v>2017</v>
      </c>
      <c r="F142" s="27">
        <f>345672284076+25814087837</f>
        <v>371486371913</v>
      </c>
      <c r="G142" s="7"/>
      <c r="H142" s="27">
        <f>4483064073038+6332909437</f>
        <v>4489396982475</v>
      </c>
      <c r="I142" s="9"/>
      <c r="J142" s="9">
        <f t="shared" si="55"/>
        <v>0</v>
      </c>
    </row>
    <row r="143" spans="3:10" ht="15.5" x14ac:dyDescent="0.35">
      <c r="C143" s="1">
        <v>142</v>
      </c>
      <c r="D143" s="2"/>
      <c r="E143" s="25">
        <v>2018</v>
      </c>
      <c r="F143" s="27">
        <f>334119566141+31673857407</f>
        <v>365793423548</v>
      </c>
      <c r="G143" s="7">
        <f>F143-F142</f>
        <v>-5692948365</v>
      </c>
      <c r="H143" s="27">
        <f>4721857645245+17870621371</f>
        <v>4739728266616</v>
      </c>
      <c r="I143" s="28">
        <f>H143-H142</f>
        <v>250331284141</v>
      </c>
      <c r="J143" s="9">
        <f t="shared" si="55"/>
        <v>-6.8378822903396211E-2</v>
      </c>
    </row>
    <row r="144" spans="3:10" ht="15.5" x14ac:dyDescent="0.35">
      <c r="C144" s="1">
        <v>143</v>
      </c>
      <c r="D144" s="2"/>
      <c r="E144" s="25">
        <v>2019</v>
      </c>
      <c r="F144" s="27">
        <f>307999061210+22789536226</f>
        <v>330788597436</v>
      </c>
      <c r="G144" s="7">
        <f t="shared" ref="G144:G146" si="60">F144-F143</f>
        <v>-35004826112</v>
      </c>
      <c r="H144" s="27">
        <f>5120108183470+12547769814</f>
        <v>5132655953284</v>
      </c>
      <c r="I144" s="28">
        <f t="shared" ref="I144:I146" si="61">H144-H143</f>
        <v>392927686668</v>
      </c>
      <c r="J144" s="9">
        <f t="shared" si="55"/>
        <v>-0.18237680457379984</v>
      </c>
    </row>
    <row r="145" spans="3:10" ht="15.5" x14ac:dyDescent="0.35">
      <c r="C145" s="1">
        <v>144</v>
      </c>
      <c r="D145" s="2"/>
      <c r="E145" s="25">
        <v>2020</v>
      </c>
      <c r="F145" s="27">
        <f>287003882175+17873119335</f>
        <v>304877001510</v>
      </c>
      <c r="G145" s="7">
        <f t="shared" si="60"/>
        <v>-25911595926</v>
      </c>
      <c r="H145" s="27">
        <f>4510056924861+9240910643</f>
        <v>4519297835504</v>
      </c>
      <c r="I145" s="28">
        <f t="shared" si="61"/>
        <v>-613358117780</v>
      </c>
      <c r="J145" s="9">
        <f t="shared" si="55"/>
        <v>5.0729455583406136E-2</v>
      </c>
    </row>
    <row r="146" spans="3:10" ht="15.5" x14ac:dyDescent="0.35">
      <c r="C146" s="1">
        <v>145</v>
      </c>
      <c r="D146" s="2"/>
      <c r="E146" s="25">
        <v>2021</v>
      </c>
      <c r="F146" s="27">
        <f>288652773053+17078286812</f>
        <v>305731059865</v>
      </c>
      <c r="G146" s="7">
        <f t="shared" si="60"/>
        <v>854058355</v>
      </c>
      <c r="H146" s="27">
        <f>3894587892160+8729683976</f>
        <v>3903317576136</v>
      </c>
      <c r="I146" s="28">
        <f t="shared" si="61"/>
        <v>-615980259368</v>
      </c>
      <c r="J146" s="9">
        <f t="shared" si="55"/>
        <v>0.16060290955490489</v>
      </c>
    </row>
    <row r="147" spans="3:10" ht="15.5" x14ac:dyDescent="0.35">
      <c r="C147" s="1">
        <v>146</v>
      </c>
      <c r="D147" s="2" t="s">
        <v>87</v>
      </c>
      <c r="E147" s="25">
        <v>2017</v>
      </c>
      <c r="F147" s="27">
        <f>503122577000+58094806000</f>
        <v>561217383000</v>
      </c>
      <c r="G147" s="7"/>
      <c r="H147" s="27">
        <f>10620505121000+55591193000</f>
        <v>10676096314000</v>
      </c>
      <c r="I147" s="9"/>
      <c r="J147" s="9">
        <f t="shared" si="55"/>
        <v>0</v>
      </c>
    </row>
    <row r="148" spans="3:10" ht="15.5" x14ac:dyDescent="0.35">
      <c r="C148" s="1">
        <v>147</v>
      </c>
      <c r="D148" s="2"/>
      <c r="E148" s="25">
        <v>2018</v>
      </c>
      <c r="F148" s="27">
        <f>675929581000+51224102000</f>
        <v>727153683000</v>
      </c>
      <c r="G148" s="7">
        <f>F148-F147</f>
        <v>165936300000</v>
      </c>
      <c r="H148" s="27">
        <f>35620000+15219719856000+59497144000</f>
        <v>15279252620000</v>
      </c>
      <c r="I148" s="28">
        <f>H148-H147</f>
        <v>4603156306000</v>
      </c>
      <c r="J148" s="9">
        <f t="shared" si="55"/>
        <v>-7.3068655101817453E-2</v>
      </c>
    </row>
    <row r="149" spans="3:10" ht="15.5" x14ac:dyDescent="0.35">
      <c r="C149" s="1">
        <v>148</v>
      </c>
      <c r="D149" s="2"/>
      <c r="E149" s="25">
        <v>2019</v>
      </c>
      <c r="F149" s="27">
        <f>693210566000+73866002000</f>
        <v>767076568000</v>
      </c>
      <c r="G149" s="7">
        <f t="shared" ref="G149:G151" si="62">F149-F148</f>
        <v>39922885000</v>
      </c>
      <c r="H149" s="27">
        <f>159250000+18532525500000</f>
        <v>18532684750000</v>
      </c>
      <c r="I149" s="28">
        <f t="shared" ref="I149:I151" si="63">H149-H148</f>
        <v>3253432130000</v>
      </c>
      <c r="J149" s="9">
        <f t="shared" si="55"/>
        <v>-0.12350554066825556</v>
      </c>
    </row>
    <row r="150" spans="3:10" ht="15.5" x14ac:dyDescent="0.35">
      <c r="C150" s="1">
        <v>149</v>
      </c>
      <c r="D150" s="2"/>
      <c r="E150" s="25">
        <v>2020</v>
      </c>
      <c r="F150" s="27">
        <f>624635592000+71347707000</f>
        <v>695983299000</v>
      </c>
      <c r="G150" s="7">
        <f t="shared" si="62"/>
        <v>-71093269000</v>
      </c>
      <c r="H150" s="27">
        <f>23707929000+18485568543000</f>
        <v>18509276472000</v>
      </c>
      <c r="I150" s="28">
        <f t="shared" si="63"/>
        <v>-23408278000</v>
      </c>
      <c r="J150" s="9">
        <f t="shared" si="55"/>
        <v>-0.10088327437176524</v>
      </c>
    </row>
    <row r="151" spans="3:10" ht="15.5" x14ac:dyDescent="0.35">
      <c r="C151" s="1">
        <v>150</v>
      </c>
      <c r="D151" s="2"/>
      <c r="E151" s="25">
        <v>2021</v>
      </c>
      <c r="F151" s="27">
        <f>873568551000+110754844000</f>
        <v>984323395000</v>
      </c>
      <c r="G151" s="7">
        <f t="shared" si="62"/>
        <v>288340096000</v>
      </c>
      <c r="H151" s="27">
        <f>9732925555000+92449283000</f>
        <v>9825374838000</v>
      </c>
      <c r="I151" s="28">
        <f t="shared" si="63"/>
        <v>-8683901634000</v>
      </c>
      <c r="J151" s="9">
        <f t="shared" si="55"/>
        <v>1.1767562331457078</v>
      </c>
    </row>
    <row r="152" spans="3:10" ht="15.5" x14ac:dyDescent="0.35">
      <c r="C152" s="1">
        <v>151</v>
      </c>
      <c r="D152" s="2" t="s">
        <v>88</v>
      </c>
      <c r="E152" s="25">
        <v>2017</v>
      </c>
      <c r="F152" s="27">
        <f>1925212000000+2465077000000</f>
        <v>4390289000000</v>
      </c>
      <c r="G152" s="7"/>
      <c r="H152" s="27">
        <f>18365482000000+185015000000</f>
        <v>18550497000000</v>
      </c>
      <c r="I152" s="9"/>
      <c r="J152" s="9">
        <f t="shared" si="55"/>
        <v>0</v>
      </c>
    </row>
    <row r="153" spans="3:10" ht="15.5" x14ac:dyDescent="0.35">
      <c r="C153" s="1">
        <v>152</v>
      </c>
      <c r="D153" s="2"/>
      <c r="E153" s="25">
        <v>2018</v>
      </c>
      <c r="F153" s="27">
        <f>2165942000000+2830349000000</f>
        <v>4996291000000</v>
      </c>
      <c r="G153" s="7">
        <f>F153-F152</f>
        <v>606002000000</v>
      </c>
      <c r="H153" s="27">
        <f>19214056000000+243250000000</f>
        <v>19457306000000</v>
      </c>
      <c r="I153" s="28">
        <f>H153-H152</f>
        <v>906809000000</v>
      </c>
      <c r="J153" s="9">
        <f t="shared" si="55"/>
        <v>7.4685308756721372E-2</v>
      </c>
    </row>
    <row r="154" spans="3:10" ht="15.5" x14ac:dyDescent="0.35">
      <c r="C154" s="1">
        <v>153</v>
      </c>
      <c r="D154" s="2"/>
      <c r="E154" s="25">
        <v>2019</v>
      </c>
      <c r="F154" s="27">
        <f>2210503000000+4236783000000</f>
        <v>6447286000000</v>
      </c>
      <c r="G154" s="7">
        <f t="shared" ref="G154:G156" si="64">F154-F153</f>
        <v>1450995000000</v>
      </c>
      <c r="H154" s="27">
        <f>21314497000000+265212000000+318345000000</f>
        <v>21898054000000</v>
      </c>
      <c r="I154" s="28">
        <f t="shared" ref="I154:I156" si="65">H154-H153</f>
        <v>2440748000000</v>
      </c>
      <c r="J154" s="9">
        <f t="shared" si="55"/>
        <v>0.11359557825506646</v>
      </c>
    </row>
    <row r="155" spans="3:10" ht="15.5" x14ac:dyDescent="0.35">
      <c r="C155" s="1">
        <v>154</v>
      </c>
      <c r="D155" s="2"/>
      <c r="E155" s="25">
        <v>2020</v>
      </c>
      <c r="F155" s="27">
        <f>2188204000000+3875933000000</f>
        <v>6064137000000</v>
      </c>
      <c r="G155" s="7">
        <f t="shared" si="64"/>
        <v>-383149000000</v>
      </c>
      <c r="H155" s="27">
        <f>18878373000000+153577000000</f>
        <v>19031950000000</v>
      </c>
      <c r="I155" s="28">
        <f t="shared" si="65"/>
        <v>-2866104000000</v>
      </c>
      <c r="J155" s="9">
        <f t="shared" si="55"/>
        <v>8.7411568271419007E-2</v>
      </c>
    </row>
    <row r="156" spans="3:10" ht="15.5" x14ac:dyDescent="0.35">
      <c r="C156" s="1">
        <v>155</v>
      </c>
      <c r="D156" s="2"/>
      <c r="E156" s="25">
        <v>2021</v>
      </c>
      <c r="F156" s="27">
        <f>3341175000000+2415797000000</f>
        <v>5756972000000</v>
      </c>
      <c r="G156" s="7">
        <f t="shared" si="64"/>
        <v>-307165000000</v>
      </c>
      <c r="H156" s="27">
        <f>16313869000000+247165000000</f>
        <v>16561034000000</v>
      </c>
      <c r="I156" s="28">
        <f t="shared" si="65"/>
        <v>-2470916000000</v>
      </c>
      <c r="J156" s="9">
        <f t="shared" si="55"/>
        <v>9.5845281822485834E-2</v>
      </c>
    </row>
    <row r="157" spans="3:10" ht="15.5" x14ac:dyDescent="0.35">
      <c r="C157" s="1">
        <v>156</v>
      </c>
      <c r="D157" s="2" t="s">
        <v>89</v>
      </c>
      <c r="E157" s="25">
        <v>2017</v>
      </c>
      <c r="F157" s="27">
        <f>1184527000000+88979000000</f>
        <v>1273506000000</v>
      </c>
      <c r="G157" s="7"/>
      <c r="H157" s="27">
        <f>138000000+18067674000000+154519000000+30183000000</f>
        <v>18252514000000</v>
      </c>
      <c r="I157" s="9"/>
      <c r="J157" s="9">
        <f t="shared" si="55"/>
        <v>0</v>
      </c>
    </row>
    <row r="158" spans="3:10" ht="15.5" x14ac:dyDescent="0.35">
      <c r="C158" s="1">
        <v>157</v>
      </c>
      <c r="D158" s="2"/>
      <c r="E158" s="25">
        <v>2018</v>
      </c>
      <c r="F158" s="27">
        <f>1197930000000+73830000000</f>
        <v>1271760000000</v>
      </c>
      <c r="G158" s="7">
        <f>F158-F157</f>
        <v>-1746000000</v>
      </c>
      <c r="H158" s="27">
        <f>657000000+15076319000000+130071000000+35056000000</f>
        <v>15242103000000</v>
      </c>
      <c r="I158" s="28">
        <f>H158-H157</f>
        <v>-3010411000000</v>
      </c>
      <c r="J158" s="9">
        <f t="shared" si="55"/>
        <v>0.19613337532555103</v>
      </c>
    </row>
    <row r="159" spans="3:10" ht="15.5" x14ac:dyDescent="0.35">
      <c r="C159" s="1">
        <v>158</v>
      </c>
      <c r="D159" s="2"/>
      <c r="E159" s="25">
        <v>2019</v>
      </c>
      <c r="F159" s="27">
        <f>926921000000+106777000000</f>
        <v>1033698000000</v>
      </c>
      <c r="G159" s="7">
        <f t="shared" ref="G159:G161" si="66">F159-F158</f>
        <v>-238062000000</v>
      </c>
      <c r="H159" s="27">
        <f>6910000000+13459487000000+131194000000+48409000000</f>
        <v>13646000000000</v>
      </c>
      <c r="I159" s="28">
        <f t="shared" ref="I159:I161" si="67">H159-H158</f>
        <v>-1596103000000</v>
      </c>
      <c r="J159" s="9">
        <f t="shared" si="55"/>
        <v>-0.11333640843251619</v>
      </c>
    </row>
    <row r="160" spans="3:10" ht="15.5" x14ac:dyDescent="0.35">
      <c r="C160" s="1">
        <v>159</v>
      </c>
      <c r="D160" s="2"/>
      <c r="E160" s="25">
        <v>2020</v>
      </c>
      <c r="F160" s="27">
        <f>631787000000+115873000000</f>
        <v>747660000000</v>
      </c>
      <c r="G160" s="7">
        <f t="shared" si="66"/>
        <v>-286038000000</v>
      </c>
      <c r="H160" s="27">
        <f>11982582000000+291889000000+143978000000</f>
        <v>12418449000000</v>
      </c>
      <c r="I160" s="28">
        <f t="shared" si="67"/>
        <v>-1227551000000</v>
      </c>
      <c r="J160" s="9">
        <f t="shared" si="55"/>
        <v>-0.28372866359920501</v>
      </c>
    </row>
    <row r="161" spans="3:10" ht="15.5" x14ac:dyDescent="0.35">
      <c r="C161" s="1">
        <v>160</v>
      </c>
      <c r="D161" s="2"/>
      <c r="E161" s="25">
        <v>2021</v>
      </c>
      <c r="F161" s="27">
        <f>767757000000+306729000000</f>
        <v>1074486000000</v>
      </c>
      <c r="G161" s="7">
        <f t="shared" si="66"/>
        <v>326826000000</v>
      </c>
      <c r="H161" s="27">
        <f>2049000000+10816904000000+344590000000+259213000000</f>
        <v>11422756000000</v>
      </c>
      <c r="I161" s="28">
        <f t="shared" si="67"/>
        <v>-995693000000</v>
      </c>
      <c r="J161" s="9">
        <f t="shared" si="55"/>
        <v>0.39133711424654338</v>
      </c>
    </row>
    <row r="162" spans="3:10" ht="15.5" x14ac:dyDescent="0.35">
      <c r="C162" s="1">
        <v>161</v>
      </c>
      <c r="D162" s="2" t="s">
        <v>90</v>
      </c>
      <c r="E162" s="25">
        <v>2017</v>
      </c>
      <c r="F162" s="27">
        <f>3508606000000+2179146000000</f>
        <v>5687752000000</v>
      </c>
      <c r="G162" s="7"/>
      <c r="H162" s="27">
        <f>9000000+16676000000+34748506000000+2378000000+604899000000</f>
        <v>35372468000000</v>
      </c>
      <c r="I162" s="9"/>
      <c r="J162" s="9">
        <f t="shared" si="55"/>
        <v>0</v>
      </c>
    </row>
    <row r="163" spans="3:10" ht="15.5" x14ac:dyDescent="0.35">
      <c r="C163" s="1">
        <v>162</v>
      </c>
      <c r="D163" s="2"/>
      <c r="E163" s="25">
        <v>2018</v>
      </c>
      <c r="F163" s="27">
        <f>3513837000000+2017901000000</f>
        <v>5531738000000</v>
      </c>
      <c r="G163" s="7">
        <f>F163-F162</f>
        <v>-156014000000</v>
      </c>
      <c r="H163" s="27">
        <f>106182000000+41905659000000+720000000+701698000000</f>
        <v>42714259000000</v>
      </c>
      <c r="I163" s="28">
        <f>H163-H162</f>
        <v>7341791000000</v>
      </c>
      <c r="J163" s="9">
        <f t="shared" si="55"/>
        <v>-0.20008493477485151</v>
      </c>
    </row>
    <row r="164" spans="3:10" ht="15.5" x14ac:dyDescent="0.35">
      <c r="C164" s="1">
        <v>163</v>
      </c>
      <c r="D164" s="2"/>
      <c r="E164" s="25">
        <v>2019</v>
      </c>
      <c r="F164" s="27">
        <f>3583527000000+2316600000000</f>
        <v>5900127000000</v>
      </c>
      <c r="G164" s="7">
        <f t="shared" ref="G164:G166" si="68">F164-F163</f>
        <v>368389000000</v>
      </c>
      <c r="H164" s="27">
        <f>74969000000+52734828000000+687759000000</f>
        <v>53497556000000</v>
      </c>
      <c r="I164" s="28">
        <f t="shared" ref="I164:I166" si="69">H164-H163</f>
        <v>10783297000000</v>
      </c>
      <c r="J164" s="9">
        <f t="shared" si="55"/>
        <v>-0.13912869169905259</v>
      </c>
    </row>
    <row r="165" spans="3:10" ht="15.5" x14ac:dyDescent="0.35">
      <c r="C165" s="1">
        <v>164</v>
      </c>
      <c r="D165" s="2"/>
      <c r="E165" s="25">
        <v>2020</v>
      </c>
      <c r="F165" s="27">
        <f>3913443000000+2919342000000</f>
        <v>6832785000000</v>
      </c>
      <c r="G165" s="7">
        <f t="shared" si="68"/>
        <v>932658000000</v>
      </c>
      <c r="H165" s="27">
        <f>110860000000+48027075000000+661138000000</f>
        <v>48799073000000</v>
      </c>
      <c r="I165" s="28">
        <f t="shared" si="69"/>
        <v>-4698483000000</v>
      </c>
      <c r="J165" s="9">
        <f t="shared" si="55"/>
        <v>0.2327797079884216</v>
      </c>
    </row>
    <row r="166" spans="3:10" ht="15.5" x14ac:dyDescent="0.35">
      <c r="C166" s="1">
        <v>165</v>
      </c>
      <c r="D166" s="2"/>
      <c r="E166" s="25">
        <v>2021</v>
      </c>
      <c r="F166" s="27">
        <f>4841076000000+3139775000000</f>
        <v>7980851000000</v>
      </c>
      <c r="G166" s="7">
        <f t="shared" si="68"/>
        <v>1148066000000</v>
      </c>
      <c r="H166" s="27">
        <f>50532000000+60170276000000+525392000000</f>
        <v>60746200000000</v>
      </c>
      <c r="I166" s="28">
        <f t="shared" si="69"/>
        <v>11947127000000</v>
      </c>
      <c r="J166" s="9">
        <f t="shared" si="55"/>
        <v>-5.2820249787974227E-2</v>
      </c>
    </row>
    <row r="167" spans="3:10" ht="15.5" x14ac:dyDescent="0.35">
      <c r="C167" s="1">
        <v>166</v>
      </c>
      <c r="D167" s="2" t="s">
        <v>91</v>
      </c>
      <c r="E167" s="25">
        <v>2017</v>
      </c>
      <c r="F167" s="27">
        <v>273350087000</v>
      </c>
      <c r="G167" s="7"/>
      <c r="H167" s="27">
        <f>456039736000+126406554000+1934691828000+1250671000+7537014000</f>
        <v>2525925803000</v>
      </c>
      <c r="I167" s="9"/>
      <c r="J167" s="9">
        <f t="shared" si="55"/>
        <v>0</v>
      </c>
    </row>
    <row r="168" spans="3:10" ht="15.5" x14ac:dyDescent="0.35">
      <c r="C168" s="1">
        <v>167</v>
      </c>
      <c r="D168" s="2"/>
      <c r="E168" s="25">
        <v>2018</v>
      </c>
      <c r="F168" s="27">
        <v>306080095000</v>
      </c>
      <c r="G168" s="7">
        <f>F168-F167</f>
        <v>32730008000</v>
      </c>
      <c r="H168" s="27">
        <f>444217249000+243753932000+500983400000+809593881000+1530332000+6327483000</f>
        <v>2006406277000</v>
      </c>
      <c r="I168" s="28">
        <f>H168-H167</f>
        <v>-519519526000</v>
      </c>
      <c r="J168" s="9">
        <f t="shared" si="55"/>
        <v>0.36586319411928969</v>
      </c>
    </row>
    <row r="169" spans="3:10" ht="15.5" x14ac:dyDescent="0.35">
      <c r="C169" s="1">
        <v>168</v>
      </c>
      <c r="D169" s="2"/>
      <c r="E169" s="25">
        <v>2019</v>
      </c>
      <c r="F169" s="27">
        <v>443009177000</v>
      </c>
      <c r="G169" s="7">
        <f t="shared" ref="G169:G171" si="70">F169-F168</f>
        <v>136929082000</v>
      </c>
      <c r="H169" s="27">
        <f>547453519000+25288664000+1691641764000+12371724000+1839625000+12436017000</f>
        <v>2291031313000</v>
      </c>
      <c r="I169" s="28">
        <f t="shared" ref="I169:I171" si="71">H169-H168</f>
        <v>284625036000</v>
      </c>
      <c r="J169" s="9">
        <f t="shared" si="55"/>
        <v>0.18485413115885108</v>
      </c>
    </row>
    <row r="170" spans="3:10" ht="15.5" x14ac:dyDescent="0.35">
      <c r="C170" s="1">
        <v>169</v>
      </c>
      <c r="D170" s="2"/>
      <c r="E170" s="25">
        <v>2020</v>
      </c>
      <c r="F170" s="27">
        <v>424019104000</v>
      </c>
      <c r="G170" s="7">
        <f t="shared" si="70"/>
        <v>-18990073000</v>
      </c>
      <c r="H170" s="27">
        <f>375952179000+67944379000+5879217000+1352437224000+10446741000+44613597000</f>
        <v>1857273337000</v>
      </c>
      <c r="I170" s="28">
        <f t="shared" si="71"/>
        <v>-433757976000</v>
      </c>
      <c r="J170" s="9">
        <f t="shared" si="55"/>
        <v>0.18875968842307847</v>
      </c>
    </row>
    <row r="171" spans="3:10" ht="15.5" x14ac:dyDescent="0.35">
      <c r="C171" s="1">
        <v>170</v>
      </c>
      <c r="D171" s="2"/>
      <c r="E171" s="25">
        <v>2021</v>
      </c>
      <c r="F171" s="27">
        <v>461176090000</v>
      </c>
      <c r="G171" s="7">
        <f t="shared" si="70"/>
        <v>37156986000</v>
      </c>
      <c r="H171" s="27">
        <f>325010001000+150215858000+33284918000+358453113000+13469727000+987116000+38585882000</f>
        <v>920006615000</v>
      </c>
      <c r="I171" s="28">
        <f t="shared" si="71"/>
        <v>-937266722000</v>
      </c>
      <c r="J171" s="9">
        <f t="shared" si="55"/>
        <v>1.0993309126188837</v>
      </c>
    </row>
    <row r="172" spans="3:10" ht="15.5" x14ac:dyDescent="0.35">
      <c r="C172" s="1">
        <v>171</v>
      </c>
      <c r="D172" s="2" t="s">
        <v>92</v>
      </c>
      <c r="E172" s="25">
        <v>2017</v>
      </c>
      <c r="F172" s="27">
        <f>6039255000000+1512518000000</f>
        <v>7551773000000</v>
      </c>
      <c r="G172" s="7"/>
      <c r="H172" s="27">
        <f>291131000000+102189794000000+3998241000000</f>
        <v>106479166000000</v>
      </c>
      <c r="I172" s="9"/>
      <c r="J172" s="9">
        <f t="shared" si="55"/>
        <v>0</v>
      </c>
    </row>
    <row r="173" spans="3:10" x14ac:dyDescent="0.35">
      <c r="C173" s="1">
        <v>172</v>
      </c>
      <c r="D173" s="9"/>
      <c r="E173" s="25">
        <v>2018</v>
      </c>
      <c r="F173" s="27">
        <f>6377935000000+1410794000000</f>
        <v>7788729000000</v>
      </c>
      <c r="G173" s="7">
        <f>F173-F172</f>
        <v>236956000000</v>
      </c>
      <c r="H173" s="27">
        <f>552448000000+113490896000000+4698548000000</f>
        <v>118741892000000</v>
      </c>
      <c r="I173" s="28">
        <f>H173-H172</f>
        <v>12262726000000</v>
      </c>
      <c r="J173" s="9">
        <f t="shared" si="55"/>
        <v>-7.2849176754268399E-2</v>
      </c>
    </row>
    <row r="174" spans="3:10" x14ac:dyDescent="0.35">
      <c r="C174" s="1">
        <v>173</v>
      </c>
      <c r="D174" s="9"/>
      <c r="E174" s="25">
        <v>2019</v>
      </c>
      <c r="F174" s="27">
        <f>6438932000000+1912576000000</f>
        <v>8351508000000</v>
      </c>
      <c r="G174" s="7">
        <f t="shared" ref="G174:G176" si="72">F174-F173</f>
        <v>562779000000</v>
      </c>
      <c r="H174" s="27">
        <f>740180000000+114436825000000+3370820000000</f>
        <v>118547825000000</v>
      </c>
      <c r="I174" s="28">
        <f t="shared" ref="I174:I176" si="73">H174-H173</f>
        <v>-194067000000</v>
      </c>
      <c r="J174" s="9">
        <f t="shared" si="55"/>
        <v>6.9023548228337672E-2</v>
      </c>
    </row>
    <row r="175" spans="3:10" x14ac:dyDescent="0.35">
      <c r="C175" s="1">
        <v>174</v>
      </c>
      <c r="D175" s="9"/>
      <c r="E175" s="25">
        <v>2020</v>
      </c>
      <c r="F175" s="27">
        <f>6826556000000+2249317000000</f>
        <v>9075873000000</v>
      </c>
      <c r="G175" s="7">
        <f t="shared" si="72"/>
        <v>724365000000</v>
      </c>
      <c r="H175" s="27">
        <f>893765000000+109737912000000+3548551000000</f>
        <v>114180228000000</v>
      </c>
      <c r="I175" s="28">
        <f t="shared" si="73"/>
        <v>-4367597000000</v>
      </c>
      <c r="J175" s="9">
        <f t="shared" si="55"/>
        <v>0.11806393724767733</v>
      </c>
    </row>
    <row r="176" spans="3:10" x14ac:dyDescent="0.35">
      <c r="C176" s="1">
        <v>175</v>
      </c>
      <c r="D176" s="9"/>
      <c r="E176" s="25">
        <v>2021</v>
      </c>
      <c r="F176" s="27">
        <f>7643485000000+2059246000000</f>
        <v>9702731000000</v>
      </c>
      <c r="G176" s="7">
        <f t="shared" si="72"/>
        <v>626858000000</v>
      </c>
      <c r="H176" s="27">
        <f>481785000000+113228691000000+3491367000000</f>
        <v>117201843000000</v>
      </c>
      <c r="I176" s="28">
        <f t="shared" si="73"/>
        <v>3021615000000</v>
      </c>
      <c r="J176" s="9">
        <f t="shared" si="55"/>
        <v>3.8825053863967326E-2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1EB22-48E2-4C47-A60D-79F634CAF6BA}">
  <dimension ref="A1:H176"/>
  <sheetViews>
    <sheetView zoomScale="88" workbookViewId="0">
      <selection activeCell="H3" sqref="H3"/>
    </sheetView>
  </sheetViews>
  <sheetFormatPr defaultRowHeight="14.5" x14ac:dyDescent="0.35"/>
  <cols>
    <col min="2" max="2" width="11.26953125" bestFit="1" customWidth="1"/>
    <col min="3" max="3" width="6.08984375" bestFit="1" customWidth="1"/>
    <col min="4" max="4" width="24.26953125" style="5" bestFit="1" customWidth="1"/>
    <col min="5" max="5" width="20.6328125" style="5" bestFit="1" customWidth="1"/>
    <col min="6" max="7" width="22.81640625" style="5" bestFit="1" customWidth="1"/>
    <col min="8" max="8" width="13.089843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6" t="s">
        <v>35</v>
      </c>
      <c r="E1" s="6" t="s">
        <v>32</v>
      </c>
      <c r="F1" s="6" t="s">
        <v>33</v>
      </c>
      <c r="G1" s="6" t="s">
        <v>34</v>
      </c>
      <c r="H1" s="8" t="s">
        <v>36</v>
      </c>
    </row>
    <row r="2" spans="1:8" x14ac:dyDescent="0.35">
      <c r="A2" s="1">
        <v>1</v>
      </c>
      <c r="B2" s="1" t="s">
        <v>3</v>
      </c>
      <c r="C2" s="1">
        <v>2017</v>
      </c>
      <c r="D2" s="7">
        <v>35616934582</v>
      </c>
      <c r="E2" s="7"/>
      <c r="F2" s="7"/>
      <c r="G2" s="6">
        <v>436601081601</v>
      </c>
      <c r="H2" s="9" t="e">
        <f>(D2/G2)-(E2/F2)</f>
        <v>#DIV/0!</v>
      </c>
    </row>
    <row r="3" spans="1:8" ht="15.5" x14ac:dyDescent="0.35">
      <c r="A3" s="1">
        <v>2</v>
      </c>
      <c r="B3" s="2" t="s">
        <v>3</v>
      </c>
      <c r="C3" s="1">
        <v>2018</v>
      </c>
      <c r="D3" s="7">
        <v>10084095926</v>
      </c>
      <c r="E3" s="7">
        <f>D2</f>
        <v>35616934582</v>
      </c>
      <c r="F3" s="7">
        <f>G2</f>
        <v>436601081601</v>
      </c>
      <c r="G3" s="7">
        <v>462273748120.5</v>
      </c>
      <c r="H3" s="9">
        <f>(D3/G3)-(E3/F3)</f>
        <v>-5.9763629625295078E-2</v>
      </c>
    </row>
    <row r="4" spans="1:8" ht="15.5" x14ac:dyDescent="0.35">
      <c r="A4" s="1">
        <v>3</v>
      </c>
      <c r="B4" s="2" t="s">
        <v>3</v>
      </c>
      <c r="C4" s="1">
        <v>2019</v>
      </c>
      <c r="D4" s="7">
        <v>2872717734</v>
      </c>
      <c r="E4" s="7">
        <f t="shared" ref="E4:E6" si="0">D3</f>
        <v>10084095926</v>
      </c>
      <c r="F4" s="7">
        <f t="shared" ref="F4:F6" si="1">G3</f>
        <v>462273748120.5</v>
      </c>
      <c r="G4" s="7">
        <v>463054828908.5</v>
      </c>
      <c r="H4" s="9">
        <f t="shared" ref="H4:H66" si="2">(D4/G4)-(E4/F4)</f>
        <v>-1.5610282697230735E-2</v>
      </c>
    </row>
    <row r="5" spans="1:8" ht="15.5" x14ac:dyDescent="0.35">
      <c r="A5" s="1">
        <v>4</v>
      </c>
      <c r="B5" s="2" t="s">
        <v>3</v>
      </c>
      <c r="C5" s="1">
        <v>2020</v>
      </c>
      <c r="D5" s="7">
        <v>171517965</v>
      </c>
      <c r="E5" s="7">
        <f t="shared" si="0"/>
        <v>2872717734</v>
      </c>
      <c r="F5" s="7">
        <f t="shared" si="1"/>
        <v>463054828908.5</v>
      </c>
      <c r="G5" s="7">
        <v>406717116516</v>
      </c>
      <c r="H5" s="9">
        <f t="shared" si="2"/>
        <v>-5.7821261036370879E-3</v>
      </c>
    </row>
    <row r="6" spans="1:8" ht="15.5" x14ac:dyDescent="0.35">
      <c r="A6" s="1">
        <v>5</v>
      </c>
      <c r="B6" s="2" t="s">
        <v>3</v>
      </c>
      <c r="C6" s="1">
        <v>2021</v>
      </c>
      <c r="D6" s="7">
        <v>718774542</v>
      </c>
      <c r="E6" s="7">
        <f t="shared" si="0"/>
        <v>171517965</v>
      </c>
      <c r="F6" s="7">
        <f t="shared" si="1"/>
        <v>406717116516</v>
      </c>
      <c r="G6" s="7">
        <v>446808076450.5</v>
      </c>
      <c r="H6" s="9">
        <f t="shared" si="2"/>
        <v>1.1869742717308994E-3</v>
      </c>
    </row>
    <row r="7" spans="1:8" ht="15.5" x14ac:dyDescent="0.35">
      <c r="A7" s="1">
        <v>6</v>
      </c>
      <c r="B7" s="2" t="s">
        <v>4</v>
      </c>
      <c r="C7" s="1">
        <v>2017</v>
      </c>
      <c r="D7" s="7">
        <v>61141112373</v>
      </c>
      <c r="E7" s="7"/>
      <c r="F7" s="7"/>
      <c r="G7" s="7">
        <v>738070719612.5</v>
      </c>
      <c r="H7" s="9" t="e">
        <f t="shared" si="2"/>
        <v>#DIV/0!</v>
      </c>
    </row>
    <row r="8" spans="1:8" x14ac:dyDescent="0.35">
      <c r="A8" s="1">
        <v>7</v>
      </c>
      <c r="B8" s="1" t="s">
        <v>4</v>
      </c>
      <c r="C8" s="1">
        <v>2018</v>
      </c>
      <c r="D8" s="7">
        <v>64625986348</v>
      </c>
      <c r="E8" s="7">
        <f>D7</f>
        <v>61141112373</v>
      </c>
      <c r="F8" s="7">
        <f>G7</f>
        <v>738070719612.5</v>
      </c>
      <c r="G8" s="7">
        <v>914178422228</v>
      </c>
      <c r="H8" s="9">
        <f t="shared" si="2"/>
        <v>-1.2146129157039623E-2</v>
      </c>
    </row>
    <row r="9" spans="1:8" x14ac:dyDescent="0.35">
      <c r="A9" s="1">
        <v>8</v>
      </c>
      <c r="B9" s="1" t="s">
        <v>4</v>
      </c>
      <c r="C9" s="1">
        <v>2019</v>
      </c>
      <c r="D9" s="7">
        <v>10700535196</v>
      </c>
      <c r="E9" s="7">
        <f t="shared" ref="E9:E11" si="3">D8</f>
        <v>64625986348</v>
      </c>
      <c r="F9" s="7">
        <f t="shared" ref="F9:F11" si="4">G8</f>
        <v>914178422228</v>
      </c>
      <c r="G9" s="7">
        <v>972777011834.5</v>
      </c>
      <c r="H9" s="9">
        <f t="shared" si="2"/>
        <v>-5.969298070477199E-2</v>
      </c>
    </row>
    <row r="10" spans="1:8" x14ac:dyDescent="0.35">
      <c r="A10" s="1">
        <v>9</v>
      </c>
      <c r="B10" s="1" t="s">
        <v>4</v>
      </c>
      <c r="C10" s="1">
        <v>2020</v>
      </c>
      <c r="D10" s="7">
        <v>-86844513059</v>
      </c>
      <c r="E10" s="7">
        <f t="shared" si="3"/>
        <v>10700535196</v>
      </c>
      <c r="F10" s="7">
        <f t="shared" si="4"/>
        <v>972777011834.5</v>
      </c>
      <c r="G10" s="7">
        <v>983339603378.5</v>
      </c>
      <c r="H10" s="9">
        <f t="shared" si="2"/>
        <v>-9.9315878560023205E-2</v>
      </c>
    </row>
    <row r="11" spans="1:8" x14ac:dyDescent="0.35">
      <c r="A11" s="1">
        <v>10</v>
      </c>
      <c r="B11" s="1" t="s">
        <v>4</v>
      </c>
      <c r="C11" s="1">
        <v>2021</v>
      </c>
      <c r="D11" s="7">
        <v>19429664571</v>
      </c>
      <c r="E11" s="7">
        <f t="shared" si="3"/>
        <v>-86844513059</v>
      </c>
      <c r="F11" s="7">
        <f t="shared" si="4"/>
        <v>983339603378.5</v>
      </c>
      <c r="G11" s="7">
        <v>986040658507</v>
      </c>
      <c r="H11" s="9">
        <f t="shared" si="2"/>
        <v>0.10802062044898258</v>
      </c>
    </row>
    <row r="12" spans="1:8" x14ac:dyDescent="0.35">
      <c r="A12" s="1">
        <v>11</v>
      </c>
      <c r="B12" s="1" t="s">
        <v>5</v>
      </c>
      <c r="C12" s="1">
        <v>2017</v>
      </c>
      <c r="D12" s="7">
        <v>15617639000000</v>
      </c>
      <c r="E12" s="7"/>
      <c r="F12" s="7"/>
      <c r="G12" s="7">
        <v>656180982000000</v>
      </c>
      <c r="H12" s="9" t="e">
        <f t="shared" si="2"/>
        <v>#DIV/0!</v>
      </c>
    </row>
    <row r="13" spans="1:8" x14ac:dyDescent="0.35">
      <c r="A13" s="1">
        <v>12</v>
      </c>
      <c r="B13" s="1" t="s">
        <v>5</v>
      </c>
      <c r="C13" s="1">
        <v>2018</v>
      </c>
      <c r="D13" s="7">
        <v>14236252000000</v>
      </c>
      <c r="E13" s="7">
        <f>D12</f>
        <v>15617639000000</v>
      </c>
      <c r="F13" s="7">
        <f>G12</f>
        <v>656180982000000</v>
      </c>
      <c r="G13" s="7">
        <v>758951047500000</v>
      </c>
      <c r="H13" s="9">
        <f t="shared" si="2"/>
        <v>-5.0430101313351204E-3</v>
      </c>
    </row>
    <row r="14" spans="1:8" x14ac:dyDescent="0.35">
      <c r="A14" s="1">
        <v>13</v>
      </c>
      <c r="B14" s="1" t="s">
        <v>5</v>
      </c>
      <c r="C14" s="1">
        <v>2019</v>
      </c>
      <c r="D14" s="7">
        <v>18383939000000</v>
      </c>
      <c r="E14" s="7">
        <f t="shared" ref="E14:E16" si="5">D13</f>
        <v>14236252000000</v>
      </c>
      <c r="F14" s="7">
        <f t="shared" ref="F14:F16" si="6">G13</f>
        <v>758951047500000</v>
      </c>
      <c r="G14" s="7">
        <v>827088609500000</v>
      </c>
      <c r="H14" s="9">
        <f t="shared" si="2"/>
        <v>3.469490696470675E-3</v>
      </c>
    </row>
    <row r="15" spans="1:8" x14ac:dyDescent="0.35">
      <c r="A15" s="1">
        <v>14</v>
      </c>
      <c r="B15" s="1" t="s">
        <v>5</v>
      </c>
      <c r="C15" s="1">
        <v>2020</v>
      </c>
      <c r="D15" s="7">
        <v>4192722000000</v>
      </c>
      <c r="E15" s="7">
        <f t="shared" si="5"/>
        <v>18383939000000</v>
      </c>
      <c r="F15" s="7">
        <f t="shared" si="6"/>
        <v>827088609500000</v>
      </c>
      <c r="G15" s="7">
        <v>868471316500000</v>
      </c>
      <c r="H15" s="9">
        <f t="shared" si="2"/>
        <v>-1.7399587267246951E-2</v>
      </c>
    </row>
    <row r="16" spans="1:8" x14ac:dyDescent="0.35">
      <c r="A16" s="1">
        <v>15</v>
      </c>
      <c r="B16" s="1" t="s">
        <v>5</v>
      </c>
      <c r="C16" s="1">
        <v>2021</v>
      </c>
      <c r="D16" s="7">
        <v>11722436000000</v>
      </c>
      <c r="E16" s="7">
        <f t="shared" si="5"/>
        <v>4192722000000</v>
      </c>
      <c r="F16" s="7">
        <f t="shared" si="6"/>
        <v>868471316500000</v>
      </c>
      <c r="G16" s="7">
        <v>928087558500000</v>
      </c>
      <c r="H16" s="9">
        <f t="shared" si="2"/>
        <v>7.8030401275145638E-3</v>
      </c>
    </row>
    <row r="17" spans="1:8" x14ac:dyDescent="0.35">
      <c r="A17" s="1">
        <v>16</v>
      </c>
      <c r="B17" s="1" t="s">
        <v>6</v>
      </c>
      <c r="C17" s="1">
        <v>2017</v>
      </c>
      <c r="D17" s="7">
        <v>3056679000000</v>
      </c>
      <c r="E17" s="7"/>
      <c r="F17" s="7"/>
      <c r="G17" s="7">
        <v>237766873000000</v>
      </c>
      <c r="H17" s="9" t="e">
        <f t="shared" si="2"/>
        <v>#DIV/0!</v>
      </c>
    </row>
    <row r="18" spans="1:8" x14ac:dyDescent="0.35">
      <c r="A18" s="1">
        <v>17</v>
      </c>
      <c r="B18" s="1" t="s">
        <v>6</v>
      </c>
      <c r="C18" s="1">
        <v>2018</v>
      </c>
      <c r="D18" s="7">
        <v>2782507000000</v>
      </c>
      <c r="E18" s="7">
        <f>D17</f>
        <v>3056679000000</v>
      </c>
      <c r="F18" s="7">
        <f>G17</f>
        <v>237766873000000</v>
      </c>
      <c r="G18" s="7">
        <v>283900730500000</v>
      </c>
      <c r="H18" s="9">
        <f t="shared" si="2"/>
        <v>-3.0547959373116891E-3</v>
      </c>
    </row>
    <row r="19" spans="1:8" x14ac:dyDescent="0.35">
      <c r="A19" s="1">
        <v>18</v>
      </c>
      <c r="B19" s="1" t="s">
        <v>6</v>
      </c>
      <c r="C19" s="1">
        <v>2019</v>
      </c>
      <c r="D19" s="7">
        <v>557332000000</v>
      </c>
      <c r="E19" s="7">
        <f t="shared" ref="E19:E21" si="7">D18</f>
        <v>2782507000000</v>
      </c>
      <c r="F19" s="7">
        <f t="shared" ref="F19:F21" si="8">G18</f>
        <v>283900730500000</v>
      </c>
      <c r="G19" s="7">
        <v>309106511000000</v>
      </c>
      <c r="H19" s="9">
        <f t="shared" si="2"/>
        <v>-7.9979437710749196E-3</v>
      </c>
    </row>
    <row r="20" spans="1:8" x14ac:dyDescent="0.35">
      <c r="A20" s="1">
        <v>19</v>
      </c>
      <c r="B20" s="1" t="s">
        <v>6</v>
      </c>
      <c r="C20" s="1">
        <v>2020</v>
      </c>
      <c r="D20" s="7">
        <v>2352711000000</v>
      </c>
      <c r="E20" s="7">
        <f t="shared" si="7"/>
        <v>557332000000</v>
      </c>
      <c r="F20" s="7">
        <f t="shared" si="8"/>
        <v>309106511000000</v>
      </c>
      <c r="G20" s="7">
        <v>336492617000000</v>
      </c>
      <c r="H20" s="9">
        <f t="shared" si="2"/>
        <v>5.1888232145002721E-3</v>
      </c>
    </row>
    <row r="21" spans="1:8" x14ac:dyDescent="0.35">
      <c r="A21" s="1">
        <v>20</v>
      </c>
      <c r="B21" s="1" t="s">
        <v>6</v>
      </c>
      <c r="C21" s="1">
        <v>2021</v>
      </c>
      <c r="D21" s="7">
        <v>1418802000000</v>
      </c>
      <c r="E21" s="7">
        <f t="shared" si="7"/>
        <v>2352711000000</v>
      </c>
      <c r="F21" s="7">
        <f t="shared" si="8"/>
        <v>336492617000000</v>
      </c>
      <c r="G21" s="7">
        <v>366538358500000</v>
      </c>
      <c r="H21" s="9">
        <f t="shared" si="2"/>
        <v>-3.1210506245503565E-3</v>
      </c>
    </row>
    <row r="22" spans="1:8" x14ac:dyDescent="0.35">
      <c r="A22" s="1">
        <v>21</v>
      </c>
      <c r="B22" s="1" t="s">
        <v>7</v>
      </c>
      <c r="C22" s="1">
        <v>2017</v>
      </c>
      <c r="D22" s="7">
        <v>-779107000000</v>
      </c>
      <c r="E22" s="7"/>
      <c r="F22" s="7"/>
      <c r="G22" s="7">
        <v>21049641000000</v>
      </c>
      <c r="H22" s="9" t="e">
        <f t="shared" si="2"/>
        <v>#DIV/0!</v>
      </c>
    </row>
    <row r="23" spans="1:8" x14ac:dyDescent="0.35">
      <c r="A23" s="1">
        <v>22</v>
      </c>
      <c r="B23" s="1" t="s">
        <v>7</v>
      </c>
      <c r="C23" s="1">
        <v>2018</v>
      </c>
      <c r="D23" s="7">
        <v>103545000000</v>
      </c>
      <c r="E23" s="7">
        <f>D22</f>
        <v>-779107000000</v>
      </c>
      <c r="F23" s="7">
        <f>G22</f>
        <v>21049641000000</v>
      </c>
      <c r="G23" s="7">
        <v>19322993500000</v>
      </c>
      <c r="H23" s="9">
        <f t="shared" si="2"/>
        <v>4.2371482031806428E-2</v>
      </c>
    </row>
    <row r="24" spans="1:8" x14ac:dyDescent="0.35">
      <c r="A24" s="1">
        <v>23</v>
      </c>
      <c r="B24" s="1" t="s">
        <v>7</v>
      </c>
      <c r="C24" s="1">
        <v>2019</v>
      </c>
      <c r="D24" s="7">
        <v>93737000000</v>
      </c>
      <c r="E24" s="7">
        <f t="shared" ref="E24:E26" si="9">D23</f>
        <v>103545000000</v>
      </c>
      <c r="F24" s="7">
        <f t="shared" ref="F24:F26" si="10">G23</f>
        <v>19322993500000</v>
      </c>
      <c r="G24" s="7">
        <v>18573864500000</v>
      </c>
      <c r="H24" s="9">
        <f t="shared" si="2"/>
        <v>-3.1192679654746831E-4</v>
      </c>
    </row>
    <row r="25" spans="1:8" x14ac:dyDescent="0.35">
      <c r="A25" s="1">
        <v>24</v>
      </c>
      <c r="B25" s="1" t="s">
        <v>7</v>
      </c>
      <c r="C25" s="1">
        <v>2020</v>
      </c>
      <c r="D25" s="7">
        <v>63228000000</v>
      </c>
      <c r="E25" s="7">
        <f t="shared" si="9"/>
        <v>93737000000</v>
      </c>
      <c r="F25" s="7">
        <f t="shared" si="10"/>
        <v>18573864500000</v>
      </c>
      <c r="G25" s="7">
        <v>18743275500000</v>
      </c>
      <c r="H25" s="9">
        <f t="shared" si="2"/>
        <v>-1.6733451434128356E-3</v>
      </c>
    </row>
    <row r="26" spans="1:8" x14ac:dyDescent="0.35">
      <c r="A26" s="1">
        <v>25</v>
      </c>
      <c r="B26" s="1" t="s">
        <v>7</v>
      </c>
      <c r="C26" s="1">
        <v>2021</v>
      </c>
      <c r="D26" s="7">
        <v>143486000000</v>
      </c>
      <c r="E26" s="7">
        <f t="shared" si="9"/>
        <v>63228000000</v>
      </c>
      <c r="F26" s="7">
        <f t="shared" si="10"/>
        <v>18743275500000</v>
      </c>
      <c r="G26" s="7">
        <v>20377757000000</v>
      </c>
      <c r="H26" s="9">
        <f t="shared" si="2"/>
        <v>3.6679350640897519E-3</v>
      </c>
    </row>
    <row r="27" spans="1:8" x14ac:dyDescent="0.35">
      <c r="A27" s="1">
        <v>26</v>
      </c>
      <c r="B27" s="1" t="s">
        <v>8</v>
      </c>
      <c r="C27" s="1">
        <v>2017</v>
      </c>
      <c r="D27" s="7">
        <v>3708950000000</v>
      </c>
      <c r="E27" s="7"/>
      <c r="F27" s="7"/>
      <c r="G27" s="7">
        <v>176346806500000</v>
      </c>
      <c r="H27" s="9" t="e">
        <f t="shared" si="2"/>
        <v>#DIV/0!</v>
      </c>
    </row>
    <row r="28" spans="1:8" x14ac:dyDescent="0.35">
      <c r="A28" s="1">
        <v>27</v>
      </c>
      <c r="B28" s="1" t="s">
        <v>8</v>
      </c>
      <c r="C28" s="1">
        <v>2018</v>
      </c>
      <c r="D28" s="7">
        <v>4126533000000</v>
      </c>
      <c r="E28" s="7">
        <f>D27</f>
        <v>3708950000000</v>
      </c>
      <c r="F28" s="7">
        <f>G27</f>
        <v>176346806500000</v>
      </c>
      <c r="G28" s="7">
        <v>182509640500000</v>
      </c>
      <c r="H28" s="9">
        <f t="shared" si="2"/>
        <v>1.5778094624937511E-3</v>
      </c>
    </row>
    <row r="29" spans="1:8" x14ac:dyDescent="0.35">
      <c r="A29" s="1">
        <v>28</v>
      </c>
      <c r="B29" s="1" t="s">
        <v>8</v>
      </c>
      <c r="C29" s="1">
        <v>2019</v>
      </c>
      <c r="D29" s="7">
        <v>4330487000000</v>
      </c>
      <c r="E29" s="7">
        <f t="shared" ref="E29:E31" si="11">D28</f>
        <v>4126533000000</v>
      </c>
      <c r="F29" s="7">
        <f t="shared" ref="F29:F31" si="12">G28</f>
        <v>182509640500000</v>
      </c>
      <c r="G29" s="7">
        <v>190148079500000</v>
      </c>
      <c r="H29" s="9">
        <f t="shared" si="2"/>
        <v>1.6434197826481478E-4</v>
      </c>
    </row>
    <row r="30" spans="1:8" x14ac:dyDescent="0.35">
      <c r="A30" s="1">
        <v>29</v>
      </c>
      <c r="B30" s="1" t="s">
        <v>8</v>
      </c>
      <c r="C30" s="1">
        <v>2020</v>
      </c>
      <c r="D30" s="7">
        <v>1382263000000</v>
      </c>
      <c r="E30" s="7">
        <f t="shared" si="11"/>
        <v>4330487000000</v>
      </c>
      <c r="F30" s="7">
        <f t="shared" si="12"/>
        <v>190148079500000</v>
      </c>
      <c r="G30" s="7">
        <v>197212019000000</v>
      </c>
      <c r="H30" s="9">
        <f t="shared" si="2"/>
        <v>-1.5765267267697225E-2</v>
      </c>
    </row>
    <row r="31" spans="1:8" x14ac:dyDescent="0.35">
      <c r="A31" s="1">
        <v>30</v>
      </c>
      <c r="B31" s="1" t="s">
        <v>8</v>
      </c>
      <c r="C31" s="1">
        <v>2021</v>
      </c>
      <c r="D31" s="7">
        <f>1892628000000</f>
        <v>1892628000000</v>
      </c>
      <c r="E31" s="7">
        <f t="shared" si="11"/>
        <v>1382263000000</v>
      </c>
      <c r="F31" s="7">
        <f t="shared" si="12"/>
        <v>197212019000000</v>
      </c>
      <c r="G31" s="7">
        <v>196564883000000</v>
      </c>
      <c r="H31" s="9">
        <f t="shared" si="2"/>
        <v>2.6194953104344242E-3</v>
      </c>
    </row>
    <row r="32" spans="1:8" x14ac:dyDescent="0.35">
      <c r="A32" s="1">
        <v>31</v>
      </c>
      <c r="B32" s="1" t="s">
        <v>9</v>
      </c>
      <c r="C32" s="1">
        <v>2017</v>
      </c>
      <c r="D32" s="7">
        <v>1158370000000</v>
      </c>
      <c r="E32" s="7"/>
      <c r="F32" s="7"/>
      <c r="G32" s="7">
        <v>14479764500000</v>
      </c>
      <c r="H32" s="9" t="e">
        <f t="shared" si="2"/>
        <v>#DIV/0!</v>
      </c>
    </row>
    <row r="33" spans="1:8" x14ac:dyDescent="0.35">
      <c r="A33" s="1">
        <v>32</v>
      </c>
      <c r="B33" s="1" t="s">
        <v>9</v>
      </c>
      <c r="C33" s="1">
        <v>2018</v>
      </c>
      <c r="D33" s="7">
        <v>1538957000000</v>
      </c>
      <c r="E33" s="7">
        <f>D32</f>
        <v>1158370000000</v>
      </c>
      <c r="F33" s="7">
        <f>G32</f>
        <v>14479764500000</v>
      </c>
      <c r="G33" s="7">
        <v>17800289000000</v>
      </c>
      <c r="H33" s="9">
        <f t="shared" si="2"/>
        <v>6.4576254481258644E-3</v>
      </c>
    </row>
    <row r="34" spans="1:8" x14ac:dyDescent="0.35">
      <c r="A34" s="1">
        <v>33</v>
      </c>
      <c r="B34" s="1" t="s">
        <v>9</v>
      </c>
      <c r="C34" s="1">
        <v>2019</v>
      </c>
      <c r="D34" s="7">
        <v>609633000000</v>
      </c>
      <c r="E34" s="7">
        <f t="shared" ref="E34:E36" si="13">D33</f>
        <v>1538957000000</v>
      </c>
      <c r="F34" s="7">
        <f t="shared" ref="F34:F36" si="14">G33</f>
        <v>17800289000000</v>
      </c>
      <c r="G34" s="7">
        <v>19103469000000</v>
      </c>
      <c r="H34" s="9">
        <f t="shared" si="2"/>
        <v>-5.4544692585967898E-2</v>
      </c>
    </row>
    <row r="35" spans="1:8" x14ac:dyDescent="0.35">
      <c r="A35" s="1">
        <v>34</v>
      </c>
      <c r="B35" s="1" t="s">
        <v>9</v>
      </c>
      <c r="C35" s="1">
        <v>2020</v>
      </c>
      <c r="D35" s="7">
        <v>827932000000</v>
      </c>
      <c r="E35" s="7">
        <f t="shared" si="13"/>
        <v>609633000000</v>
      </c>
      <c r="F35" s="7">
        <f t="shared" si="14"/>
        <v>19103469000000</v>
      </c>
      <c r="G35" s="7">
        <v>17145082000000</v>
      </c>
      <c r="H35" s="9">
        <f t="shared" si="2"/>
        <v>1.6377603995128651E-2</v>
      </c>
    </row>
    <row r="36" spans="1:8" x14ac:dyDescent="0.35">
      <c r="A36" s="1">
        <v>35</v>
      </c>
      <c r="B36" s="1" t="s">
        <v>9</v>
      </c>
      <c r="C36" s="1">
        <v>2021</v>
      </c>
      <c r="D36" s="7">
        <v>1197691000000</v>
      </c>
      <c r="E36" s="7">
        <f t="shared" si="13"/>
        <v>827932000000</v>
      </c>
      <c r="F36" s="7">
        <f t="shared" si="14"/>
        <v>17145082000000</v>
      </c>
      <c r="G36" s="7">
        <v>15418135000000</v>
      </c>
      <c r="H36" s="9">
        <f t="shared" si="2"/>
        <v>2.9390900179749012E-2</v>
      </c>
    </row>
    <row r="37" spans="1:8" x14ac:dyDescent="0.35">
      <c r="A37" s="1">
        <v>36</v>
      </c>
      <c r="B37" s="1" t="s">
        <v>10</v>
      </c>
      <c r="C37" s="1">
        <v>2017</v>
      </c>
      <c r="D37" s="7">
        <v>2966276000000</v>
      </c>
      <c r="E37" s="7"/>
      <c r="F37" s="7"/>
      <c r="G37" s="7">
        <v>253938591500000</v>
      </c>
      <c r="H37" s="9" t="e">
        <f t="shared" si="2"/>
        <v>#DIV/0!</v>
      </c>
    </row>
    <row r="38" spans="1:8" x14ac:dyDescent="0.35">
      <c r="A38" s="1">
        <v>37</v>
      </c>
      <c r="B38" s="1" t="s">
        <v>10</v>
      </c>
      <c r="C38" s="1">
        <v>2018</v>
      </c>
      <c r="D38" s="7">
        <v>3202980000000</v>
      </c>
      <c r="E38" s="7">
        <f>D37</f>
        <v>2966276000000</v>
      </c>
      <c r="F38" s="7">
        <f>G37</f>
        <v>253938591500000</v>
      </c>
      <c r="G38" s="7">
        <v>266543476500000</v>
      </c>
      <c r="H38" s="9">
        <f t="shared" si="2"/>
        <v>3.356502318330179E-4</v>
      </c>
    </row>
    <row r="39" spans="1:8" x14ac:dyDescent="0.35">
      <c r="A39" s="1">
        <v>38</v>
      </c>
      <c r="B39" s="1" t="s">
        <v>10</v>
      </c>
      <c r="C39" s="1">
        <v>2019</v>
      </c>
      <c r="D39" s="7">
        <v>4387474000000</v>
      </c>
      <c r="E39" s="7">
        <f t="shared" ref="E39:E41" si="15">D38</f>
        <v>3202980000000</v>
      </c>
      <c r="F39" s="7">
        <f t="shared" ref="F39:F41" si="16">G38</f>
        <v>266543476500000</v>
      </c>
      <c r="G39" s="7">
        <v>270624362500000</v>
      </c>
      <c r="H39" s="9">
        <f t="shared" si="2"/>
        <v>4.1956869642142854E-3</v>
      </c>
    </row>
    <row r="40" spans="1:8" x14ac:dyDescent="0.35">
      <c r="A40" s="1">
        <v>39</v>
      </c>
      <c r="B40" s="1" t="s">
        <v>10</v>
      </c>
      <c r="C40" s="1">
        <v>2020</v>
      </c>
      <c r="D40" s="7">
        <v>3289807000000</v>
      </c>
      <c r="E40" s="7">
        <f t="shared" si="15"/>
        <v>4387474000000</v>
      </c>
      <c r="F40" s="7">
        <f t="shared" si="16"/>
        <v>270624362500000</v>
      </c>
      <c r="G40" s="7">
        <v>277705416000000</v>
      </c>
      <c r="H40" s="9">
        <f t="shared" si="2"/>
        <v>-4.3660220352984939E-3</v>
      </c>
    </row>
    <row r="41" spans="1:8" x14ac:dyDescent="0.35">
      <c r="A41" s="1">
        <v>40</v>
      </c>
      <c r="B41" s="1" t="s">
        <v>10</v>
      </c>
      <c r="C41" s="1">
        <v>2021</v>
      </c>
      <c r="D41" s="7">
        <v>3415074000000</v>
      </c>
      <c r="E41" s="7">
        <f t="shared" si="15"/>
        <v>3289807000000</v>
      </c>
      <c r="F41" s="7">
        <f t="shared" si="16"/>
        <v>277705416000000</v>
      </c>
      <c r="G41" s="7">
        <v>295865282500000</v>
      </c>
      <c r="H41" s="9">
        <f t="shared" si="2"/>
        <v>-3.0372567602983749E-4</v>
      </c>
    </row>
    <row r="42" spans="1:8" x14ac:dyDescent="0.35">
      <c r="A42" s="1">
        <v>41</v>
      </c>
      <c r="B42" s="1" t="s">
        <v>11</v>
      </c>
      <c r="C42" s="1">
        <v>2017</v>
      </c>
      <c r="D42" s="7">
        <v>1892096000000</v>
      </c>
      <c r="E42" s="7"/>
      <c r="F42" s="7"/>
      <c r="G42" s="7">
        <v>169966196500000</v>
      </c>
      <c r="H42" s="9" t="e">
        <f t="shared" si="2"/>
        <v>#DIV/0!</v>
      </c>
    </row>
    <row r="43" spans="1:8" x14ac:dyDescent="0.35">
      <c r="A43" s="1">
        <v>42</v>
      </c>
      <c r="B43" s="1" t="s">
        <v>11</v>
      </c>
      <c r="C43" s="1">
        <v>2018</v>
      </c>
      <c r="D43" s="7">
        <v>2701100000000</v>
      </c>
      <c r="E43" s="7">
        <f>D42</f>
        <v>1892096000000</v>
      </c>
      <c r="F43" s="7">
        <f>G42</f>
        <v>169966196500000</v>
      </c>
      <c r="G43" s="7">
        <v>175393174500000</v>
      </c>
      <c r="H43" s="9">
        <f t="shared" si="2"/>
        <v>4.268067167888346E-3</v>
      </c>
    </row>
    <row r="44" spans="1:8" x14ac:dyDescent="0.35">
      <c r="A44" s="1">
        <v>43</v>
      </c>
      <c r="B44" s="1" t="s">
        <v>11</v>
      </c>
      <c r="C44" s="1">
        <v>2019</v>
      </c>
      <c r="D44" s="7">
        <v>2163127000000</v>
      </c>
      <c r="E44" s="7">
        <f t="shared" ref="E44:E46" si="17">D43</f>
        <v>2701100000000</v>
      </c>
      <c r="F44" s="7">
        <f t="shared" ref="F44:F46" si="18">G43</f>
        <v>175393174500000</v>
      </c>
      <c r="G44" s="7">
        <v>173307844000000</v>
      </c>
      <c r="H44" s="9">
        <f t="shared" si="2"/>
        <v>-2.9188429228527209E-3</v>
      </c>
    </row>
    <row r="45" spans="1:8" x14ac:dyDescent="0.35">
      <c r="A45" s="1">
        <v>44</v>
      </c>
      <c r="B45" s="1" t="s">
        <v>11</v>
      </c>
      <c r="C45" s="1">
        <v>2020</v>
      </c>
      <c r="D45" s="7">
        <v>1613692000000</v>
      </c>
      <c r="E45" s="7">
        <f t="shared" si="17"/>
        <v>2163127000000</v>
      </c>
      <c r="F45" s="7">
        <f t="shared" si="18"/>
        <v>173307844000000</v>
      </c>
      <c r="G45" s="7">
        <v>171153621000000</v>
      </c>
      <c r="H45" s="9">
        <f t="shared" si="2"/>
        <v>-3.0530890741265124E-3</v>
      </c>
    </row>
    <row r="46" spans="1:8" x14ac:dyDescent="0.35">
      <c r="A46" s="1">
        <v>45</v>
      </c>
      <c r="B46" s="1" t="s">
        <v>11</v>
      </c>
      <c r="C46" s="1">
        <v>2021</v>
      </c>
      <c r="D46" s="7">
        <v>1754762000000</v>
      </c>
      <c r="E46" s="7">
        <f t="shared" si="17"/>
        <v>1613692000000</v>
      </c>
      <c r="F46" s="7">
        <f t="shared" si="18"/>
        <v>171153621000000</v>
      </c>
      <c r="G46" s="7">
        <v>170991444000000</v>
      </c>
      <c r="H46" s="9">
        <f t="shared" si="2"/>
        <v>8.3395434392557859E-4</v>
      </c>
    </row>
    <row r="47" spans="1:8" x14ac:dyDescent="0.35">
      <c r="A47" s="1">
        <v>46</v>
      </c>
      <c r="B47" s="1" t="s">
        <v>12</v>
      </c>
      <c r="C47" s="1">
        <v>2017</v>
      </c>
      <c r="D47" s="7">
        <v>725686000000</v>
      </c>
      <c r="E47" s="7"/>
      <c r="F47" s="7"/>
      <c r="G47" s="7">
        <v>156927941000000</v>
      </c>
      <c r="H47" s="9" t="e">
        <f t="shared" si="2"/>
        <v>#DIV/0!</v>
      </c>
    </row>
    <row r="48" spans="1:8" x14ac:dyDescent="0.35">
      <c r="A48" s="1">
        <v>47</v>
      </c>
      <c r="B48" s="1" t="s">
        <v>12</v>
      </c>
      <c r="C48" s="1">
        <v>2018</v>
      </c>
      <c r="D48" s="7">
        <v>941322000000</v>
      </c>
      <c r="E48" s="7">
        <f>D47</f>
        <v>725686000000</v>
      </c>
      <c r="F48" s="7">
        <f>G47</f>
        <v>156927941000000</v>
      </c>
      <c r="G48" s="7">
        <v>150610618000000</v>
      </c>
      <c r="H48" s="9">
        <f t="shared" si="2"/>
        <v>1.6257111613633144E-3</v>
      </c>
    </row>
    <row r="49" spans="1:8" x14ac:dyDescent="0.35">
      <c r="A49" s="1">
        <v>48</v>
      </c>
      <c r="B49" s="1" t="s">
        <v>12</v>
      </c>
      <c r="C49" s="1">
        <v>2019</v>
      </c>
      <c r="D49" s="7">
        <v>1585415000000</v>
      </c>
      <c r="E49" s="7">
        <f t="shared" ref="E49:E51" si="19">D48</f>
        <v>941322000000</v>
      </c>
      <c r="F49" s="7">
        <f t="shared" ref="F49:F51" si="20">G48</f>
        <v>150610618000000</v>
      </c>
      <c r="G49" s="7">
        <v>157172062500000</v>
      </c>
      <c r="H49" s="9">
        <f t="shared" si="2"/>
        <v>3.8370923984905672E-3</v>
      </c>
    </row>
    <row r="50" spans="1:8" x14ac:dyDescent="0.35">
      <c r="A50" s="1">
        <v>49</v>
      </c>
      <c r="B50" s="1" t="s">
        <v>12</v>
      </c>
      <c r="C50" s="1">
        <v>2020</v>
      </c>
      <c r="D50" s="7">
        <v>1215517000000</v>
      </c>
      <c r="E50" s="7">
        <f t="shared" si="19"/>
        <v>1585415000000</v>
      </c>
      <c r="F50" s="7">
        <f t="shared" si="20"/>
        <v>157172062500000</v>
      </c>
      <c r="G50" s="7">
        <v>179588678000000</v>
      </c>
      <c r="H50" s="9">
        <f t="shared" si="2"/>
        <v>-3.3187911260495577E-3</v>
      </c>
    </row>
    <row r="51" spans="1:8" x14ac:dyDescent="0.35">
      <c r="A51" s="1">
        <v>50</v>
      </c>
      <c r="B51" s="1" t="s">
        <v>12</v>
      </c>
      <c r="C51" s="1">
        <v>2021</v>
      </c>
      <c r="D51" s="7">
        <v>1407057000000</v>
      </c>
      <c r="E51" s="7">
        <f t="shared" si="19"/>
        <v>1215517000000</v>
      </c>
      <c r="F51" s="7">
        <f t="shared" si="20"/>
        <v>179588678000000</v>
      </c>
      <c r="G51" s="7">
        <v>216052569500000</v>
      </c>
      <c r="H51" s="9">
        <f t="shared" si="2"/>
        <v>-2.5577093687867772E-4</v>
      </c>
    </row>
    <row r="52" spans="1:8" x14ac:dyDescent="0.35">
      <c r="A52" s="1">
        <v>51</v>
      </c>
      <c r="B52" s="1" t="s">
        <v>13</v>
      </c>
      <c r="C52" s="1">
        <v>2017</v>
      </c>
      <c r="D52" s="7">
        <v>1266466000000</v>
      </c>
      <c r="E52" s="7"/>
      <c r="F52" s="7"/>
      <c r="G52" s="7">
        <v>28568018500000</v>
      </c>
      <c r="H52" s="9" t="e">
        <f t="shared" si="2"/>
        <v>#DIV/0!</v>
      </c>
    </row>
    <row r="53" spans="1:8" x14ac:dyDescent="0.35">
      <c r="A53" s="1">
        <v>52</v>
      </c>
      <c r="B53" s="1" t="s">
        <v>13</v>
      </c>
      <c r="C53" s="1">
        <v>2018</v>
      </c>
      <c r="D53" s="7">
        <v>1987284000000</v>
      </c>
      <c r="E53" s="7">
        <f>D52</f>
        <v>1266466000000</v>
      </c>
      <c r="F53" s="7">
        <f>G52</f>
        <v>28568018500000</v>
      </c>
      <c r="G53" s="7">
        <v>30494687000000</v>
      </c>
      <c r="H53" s="9">
        <f t="shared" si="2"/>
        <v>2.0836603459163376E-2</v>
      </c>
    </row>
    <row r="54" spans="1:8" x14ac:dyDescent="0.35">
      <c r="A54" s="1">
        <v>53</v>
      </c>
      <c r="B54" s="1" t="s">
        <v>13</v>
      </c>
      <c r="C54" s="1">
        <v>2019</v>
      </c>
      <c r="D54" s="7">
        <v>1958596000000</v>
      </c>
      <c r="E54" s="7">
        <f t="shared" ref="E54:E56" si="21">D53</f>
        <v>1987284000000</v>
      </c>
      <c r="F54" s="7">
        <f t="shared" ref="F54:F56" si="22">G53</f>
        <v>30494687000000</v>
      </c>
      <c r="G54" s="7">
        <v>33306647000000</v>
      </c>
      <c r="H54" s="9">
        <f t="shared" si="2"/>
        <v>-6.3632458847270659E-3</v>
      </c>
    </row>
    <row r="55" spans="1:8" x14ac:dyDescent="0.35">
      <c r="A55" s="1">
        <v>54</v>
      </c>
      <c r="B55" s="1" t="s">
        <v>13</v>
      </c>
      <c r="C55" s="1">
        <v>2020</v>
      </c>
      <c r="D55" s="7">
        <v>1015111000000</v>
      </c>
      <c r="E55" s="7">
        <f t="shared" si="21"/>
        <v>1958596000000</v>
      </c>
      <c r="F55" s="7">
        <f t="shared" si="22"/>
        <v>33306647000000</v>
      </c>
      <c r="G55" s="7">
        <v>32173683000000</v>
      </c>
      <c r="H55" s="9">
        <f t="shared" si="2"/>
        <v>-2.7253985775101658E-2</v>
      </c>
    </row>
    <row r="56" spans="1:8" x14ac:dyDescent="0.35">
      <c r="A56" s="1">
        <v>55</v>
      </c>
      <c r="B56" s="1" t="s">
        <v>13</v>
      </c>
      <c r="C56" s="1">
        <v>2021</v>
      </c>
      <c r="D56" s="7">
        <v>1474731000000</v>
      </c>
      <c r="E56" s="7">
        <f t="shared" si="21"/>
        <v>1015111000000</v>
      </c>
      <c r="F56" s="7">
        <f t="shared" si="22"/>
        <v>32173683000000</v>
      </c>
      <c r="G56" s="7">
        <v>26478199000000</v>
      </c>
      <c r="H56" s="9">
        <f t="shared" si="2"/>
        <v>2.414507350975563E-2</v>
      </c>
    </row>
    <row r="57" spans="1:8" x14ac:dyDescent="0.35">
      <c r="A57" s="1">
        <v>56</v>
      </c>
      <c r="B57" s="1" t="s">
        <v>14</v>
      </c>
      <c r="C57" s="1">
        <v>2017</v>
      </c>
      <c r="D57" s="7">
        <v>220075054000</v>
      </c>
      <c r="E57" s="7"/>
      <c r="F57" s="7"/>
      <c r="G57" s="7">
        <v>27412794965500</v>
      </c>
      <c r="H57" s="9" t="e">
        <f t="shared" si="2"/>
        <v>#DIV/0!</v>
      </c>
    </row>
    <row r="58" spans="1:8" x14ac:dyDescent="0.35">
      <c r="A58" s="1">
        <v>57</v>
      </c>
      <c r="B58" s="1" t="s">
        <v>14</v>
      </c>
      <c r="C58" s="1">
        <v>2018</v>
      </c>
      <c r="D58" s="7">
        <v>-40335898000</v>
      </c>
      <c r="E58" s="7">
        <f>D57</f>
        <v>220075054000</v>
      </c>
      <c r="F58" s="7">
        <f>G57</f>
        <v>27412794965500</v>
      </c>
      <c r="G58" s="7">
        <v>29498961992500</v>
      </c>
      <c r="H58" s="9">
        <f t="shared" si="2"/>
        <v>-9.3955540477697365E-3</v>
      </c>
    </row>
    <row r="59" spans="1:8" x14ac:dyDescent="0.35">
      <c r="A59" s="1">
        <v>58</v>
      </c>
      <c r="B59" s="1" t="s">
        <v>14</v>
      </c>
      <c r="C59" s="1">
        <v>2019</v>
      </c>
      <c r="D59" s="7">
        <v>81245098000</v>
      </c>
      <c r="E59" s="7">
        <f t="shared" ref="E59:E61" si="23">D58</f>
        <v>-40335898000</v>
      </c>
      <c r="F59" s="7">
        <f t="shared" ref="F59:F61" si="24">G58</f>
        <v>29498961992500</v>
      </c>
      <c r="G59" s="7">
        <v>30314387069500</v>
      </c>
      <c r="H59" s="9">
        <f t="shared" si="2"/>
        <v>4.0474504995493318E-3</v>
      </c>
    </row>
    <row r="60" spans="1:8" x14ac:dyDescent="0.35">
      <c r="A60" s="1">
        <v>59</v>
      </c>
      <c r="B60" s="1" t="s">
        <v>14</v>
      </c>
      <c r="C60" s="1">
        <v>2020</v>
      </c>
      <c r="D60" s="7">
        <v>-152008563000</v>
      </c>
      <c r="E60" s="7">
        <f t="shared" si="23"/>
        <v>81245098000</v>
      </c>
      <c r="F60" s="7">
        <f t="shared" si="24"/>
        <v>30314387069500</v>
      </c>
      <c r="G60" s="7">
        <v>28338933137000</v>
      </c>
      <c r="H60" s="9">
        <f t="shared" si="2"/>
        <v>-8.0440317846741227E-3</v>
      </c>
    </row>
    <row r="61" spans="1:8" x14ac:dyDescent="0.35">
      <c r="A61" s="1">
        <v>60</v>
      </c>
      <c r="B61" s="1" t="s">
        <v>14</v>
      </c>
      <c r="C61" s="1">
        <v>2021</v>
      </c>
      <c r="D61" s="7">
        <v>-186479141000</v>
      </c>
      <c r="E61" s="7">
        <f t="shared" si="23"/>
        <v>-152008563000</v>
      </c>
      <c r="F61" s="7">
        <f t="shared" si="24"/>
        <v>28338933137000</v>
      </c>
      <c r="G61" s="7">
        <v>25584275258500</v>
      </c>
      <c r="H61" s="9">
        <f t="shared" si="2"/>
        <v>-1.9248706109620244E-3</v>
      </c>
    </row>
    <row r="62" spans="1:8" x14ac:dyDescent="0.35">
      <c r="A62" s="1">
        <v>61</v>
      </c>
      <c r="B62" s="1" t="s">
        <v>15</v>
      </c>
      <c r="C62" s="1">
        <v>2017</v>
      </c>
      <c r="D62" s="7">
        <v>230599795000</v>
      </c>
      <c r="E62" s="7"/>
      <c r="F62" s="7"/>
      <c r="G62" s="7">
        <v>8317518837000</v>
      </c>
      <c r="H62" s="9" t="e">
        <f t="shared" si="2"/>
        <v>#DIV/0!</v>
      </c>
    </row>
    <row r="63" spans="1:8" x14ac:dyDescent="0.35">
      <c r="A63" s="1">
        <v>62</v>
      </c>
      <c r="B63" s="1" t="s">
        <v>15</v>
      </c>
      <c r="C63" s="1">
        <v>2018</v>
      </c>
      <c r="D63" s="7">
        <v>317594433000</v>
      </c>
      <c r="E63" s="7">
        <f>D62</f>
        <v>230599795000</v>
      </c>
      <c r="F63" s="7">
        <f>G62</f>
        <v>8317518837000</v>
      </c>
      <c r="G63" s="7">
        <v>10497063221500</v>
      </c>
      <c r="H63" s="9">
        <f t="shared" si="2"/>
        <v>2.5309616785833058E-3</v>
      </c>
    </row>
    <row r="64" spans="1:8" x14ac:dyDescent="0.35">
      <c r="A64" s="1">
        <v>63</v>
      </c>
      <c r="B64" s="1" t="s">
        <v>15</v>
      </c>
      <c r="C64" s="1">
        <v>2019</v>
      </c>
      <c r="D64" s="7">
        <v>358556894000</v>
      </c>
      <c r="E64" s="7">
        <f t="shared" ref="E64:E66" si="25">D63</f>
        <v>317594433000</v>
      </c>
      <c r="F64" s="7">
        <f t="shared" ref="F64:F66" si="26">G63</f>
        <v>10497063221500</v>
      </c>
      <c r="G64" s="7">
        <v>11610378593000</v>
      </c>
      <c r="H64" s="9">
        <f t="shared" si="2"/>
        <v>6.2689522110218054E-4</v>
      </c>
    </row>
    <row r="65" spans="1:8" x14ac:dyDescent="0.35">
      <c r="A65" s="1">
        <v>64</v>
      </c>
      <c r="B65" s="1" t="s">
        <v>15</v>
      </c>
      <c r="C65" s="1">
        <v>2020</v>
      </c>
      <c r="D65" s="7">
        <v>51999536000</v>
      </c>
      <c r="E65" s="7">
        <f t="shared" si="25"/>
        <v>358556894000</v>
      </c>
      <c r="F65" s="7">
        <f t="shared" si="26"/>
        <v>11610378593000</v>
      </c>
      <c r="G65" s="7">
        <v>11517467142500</v>
      </c>
      <c r="H65" s="9">
        <f t="shared" si="2"/>
        <v>-2.6367605078205257E-2</v>
      </c>
    </row>
    <row r="66" spans="1:8" x14ac:dyDescent="0.35">
      <c r="A66" s="1">
        <v>65</v>
      </c>
      <c r="B66" s="1" t="s">
        <v>15</v>
      </c>
      <c r="C66" s="1">
        <v>2021</v>
      </c>
      <c r="D66" s="7">
        <v>60930309000</v>
      </c>
      <c r="E66" s="7">
        <f t="shared" si="25"/>
        <v>51999536000</v>
      </c>
      <c r="F66" s="7">
        <f t="shared" si="26"/>
        <v>11517467142500</v>
      </c>
      <c r="G66" s="7">
        <v>9020680117500</v>
      </c>
      <c r="H66" s="9">
        <f t="shared" si="2"/>
        <v>2.2396726016071025E-3</v>
      </c>
    </row>
    <row r="67" spans="1:8" x14ac:dyDescent="0.35">
      <c r="A67" s="1">
        <v>66</v>
      </c>
      <c r="B67" s="1" t="s">
        <v>16</v>
      </c>
      <c r="C67" s="1">
        <v>2017</v>
      </c>
      <c r="D67" s="7">
        <v>11425651000</v>
      </c>
      <c r="E67" s="7"/>
      <c r="F67" s="7"/>
      <c r="G67" s="7">
        <v>3727293518000</v>
      </c>
      <c r="H67" s="9" t="e">
        <f t="shared" ref="H67:H130" si="27">(D67/G67)-(E67/F67)</f>
        <v>#DIV/0!</v>
      </c>
    </row>
    <row r="68" spans="1:8" x14ac:dyDescent="0.35">
      <c r="A68" s="1">
        <v>67</v>
      </c>
      <c r="B68" s="1" t="s">
        <v>16</v>
      </c>
      <c r="C68" s="1">
        <v>2018</v>
      </c>
      <c r="D68" s="7">
        <v>-292565818000</v>
      </c>
      <c r="E68" s="7">
        <f>D67</f>
        <v>11425651000</v>
      </c>
      <c r="F68" s="7">
        <f>G67</f>
        <v>3727293518000</v>
      </c>
      <c r="G68" s="7">
        <v>3055761564500</v>
      </c>
      <c r="H68" s="9">
        <f t="shared" si="27"/>
        <v>-9.8807759569832024E-2</v>
      </c>
    </row>
    <row r="69" spans="1:8" x14ac:dyDescent="0.35">
      <c r="A69" s="1">
        <v>68</v>
      </c>
      <c r="B69" s="1" t="s">
        <v>16</v>
      </c>
      <c r="C69" s="1">
        <v>2019</v>
      </c>
      <c r="D69" s="7">
        <v>-198213285000</v>
      </c>
      <c r="E69" s="7">
        <f t="shared" ref="E69:E70" si="28">D68</f>
        <v>-292565818000</v>
      </c>
      <c r="F69" s="7">
        <f t="shared" ref="F69:F71" si="29">G68</f>
        <v>3055761564500</v>
      </c>
      <c r="G69" s="7">
        <v>1726090971500</v>
      </c>
      <c r="H69" s="9">
        <f t="shared" si="27"/>
        <v>-1.9091267855715272E-2</v>
      </c>
    </row>
    <row r="70" spans="1:8" x14ac:dyDescent="0.35">
      <c r="A70" s="1">
        <v>69</v>
      </c>
      <c r="B70" s="1" t="s">
        <v>16</v>
      </c>
      <c r="C70" s="1">
        <v>2020</v>
      </c>
      <c r="D70" s="7">
        <v>-84433201000</v>
      </c>
      <c r="E70" s="7">
        <f t="shared" si="28"/>
        <v>-198213285000</v>
      </c>
      <c r="F70" s="7">
        <f t="shared" si="29"/>
        <v>1726090971500</v>
      </c>
      <c r="G70" s="7">
        <v>981752011500</v>
      </c>
      <c r="H70" s="9">
        <f t="shared" si="27"/>
        <v>2.8831050963818633E-2</v>
      </c>
    </row>
    <row r="71" spans="1:8" x14ac:dyDescent="0.35">
      <c r="A71" s="1">
        <v>70</v>
      </c>
      <c r="B71" s="1" t="s">
        <v>16</v>
      </c>
      <c r="C71" s="1">
        <v>2021</v>
      </c>
      <c r="D71" s="7">
        <v>34775555000</v>
      </c>
      <c r="E71" s="7">
        <f>D70</f>
        <v>-84433201000</v>
      </c>
      <c r="F71" s="7">
        <f t="shared" si="29"/>
        <v>981752011500</v>
      </c>
      <c r="G71" s="7">
        <v>711383640000</v>
      </c>
      <c r="H71" s="9">
        <f t="shared" si="27"/>
        <v>0.13488696458153254</v>
      </c>
    </row>
    <row r="72" spans="1:8" x14ac:dyDescent="0.35">
      <c r="A72" s="1">
        <v>71</v>
      </c>
      <c r="B72" s="1" t="s">
        <v>17</v>
      </c>
      <c r="C72" s="1">
        <v>2017</v>
      </c>
      <c r="D72" s="7">
        <v>689658000000</v>
      </c>
      <c r="E72" s="7"/>
      <c r="F72" s="7"/>
      <c r="G72" s="7">
        <v>67792336189000</v>
      </c>
      <c r="H72" s="9" t="e">
        <f t="shared" si="27"/>
        <v>#DIV/0!</v>
      </c>
    </row>
    <row r="73" spans="1:8" x14ac:dyDescent="0.35">
      <c r="A73" s="1">
        <v>72</v>
      </c>
      <c r="B73" s="1" t="s">
        <v>17</v>
      </c>
      <c r="C73" s="1">
        <v>2018</v>
      </c>
      <c r="D73" s="7">
        <v>517896000000</v>
      </c>
      <c r="E73" s="7">
        <f>D72</f>
        <v>689658000000</v>
      </c>
      <c r="F73" s="7">
        <f>G72</f>
        <v>67792336189000</v>
      </c>
      <c r="G73" s="7">
        <v>80858731500000</v>
      </c>
      <c r="H73" s="9">
        <f t="shared" si="27"/>
        <v>-3.7681484608018626E-3</v>
      </c>
    </row>
    <row r="74" spans="1:8" x14ac:dyDescent="0.35">
      <c r="A74" s="1">
        <v>73</v>
      </c>
      <c r="B74" s="1" t="s">
        <v>17</v>
      </c>
      <c r="C74" s="1">
        <v>2019</v>
      </c>
      <c r="D74" s="7">
        <v>556056000000</v>
      </c>
      <c r="E74" s="7">
        <f t="shared" ref="E74:E76" si="30">D73</f>
        <v>517896000000</v>
      </c>
      <c r="F74" s="7">
        <f t="shared" ref="F74:F76" si="31">G73</f>
        <v>80858731500000</v>
      </c>
      <c r="G74" s="7">
        <v>90190362000000</v>
      </c>
      <c r="H74" s="9">
        <f t="shared" si="27"/>
        <v>-2.395889208235821E-4</v>
      </c>
    </row>
    <row r="75" spans="1:8" x14ac:dyDescent="0.35">
      <c r="A75" s="1">
        <v>74</v>
      </c>
      <c r="B75" s="1" t="s">
        <v>17</v>
      </c>
      <c r="C75" s="1">
        <v>2020</v>
      </c>
      <c r="D75" s="7">
        <v>224838000000</v>
      </c>
      <c r="E75" s="7">
        <f t="shared" si="30"/>
        <v>556056000000</v>
      </c>
      <c r="F75" s="7">
        <f t="shared" si="31"/>
        <v>90190362000000</v>
      </c>
      <c r="G75" s="7">
        <v>92963428000000</v>
      </c>
      <c r="H75" s="9">
        <f t="shared" si="27"/>
        <v>-3.7467954457145818E-3</v>
      </c>
    </row>
    <row r="76" spans="1:8" x14ac:dyDescent="0.35">
      <c r="A76" s="1">
        <v>75</v>
      </c>
      <c r="B76" s="1" t="s">
        <v>17</v>
      </c>
      <c r="C76" s="1">
        <v>2021</v>
      </c>
      <c r="D76" s="7">
        <v>78069000000</v>
      </c>
      <c r="E76" s="7">
        <f t="shared" si="30"/>
        <v>224838000000</v>
      </c>
      <c r="F76" s="7">
        <f t="shared" si="31"/>
        <v>92963428000000</v>
      </c>
      <c r="G76" s="7">
        <v>105811105000000</v>
      </c>
      <c r="H76" s="9">
        <f t="shared" si="27"/>
        <v>-1.6807491901487284E-3</v>
      </c>
    </row>
    <row r="77" spans="1:8" x14ac:dyDescent="0.35">
      <c r="A77" s="1">
        <v>76</v>
      </c>
      <c r="B77" s="1" t="s">
        <v>18</v>
      </c>
      <c r="C77" s="1">
        <v>2017</v>
      </c>
      <c r="D77" s="7">
        <v>39557537456</v>
      </c>
      <c r="E77" s="7"/>
      <c r="F77" s="7"/>
      <c r="G77" s="7">
        <v>489900968404.5</v>
      </c>
      <c r="H77" s="9" t="e">
        <f t="shared" si="27"/>
        <v>#DIV/0!</v>
      </c>
    </row>
    <row r="78" spans="1:8" x14ac:dyDescent="0.35">
      <c r="A78" s="1">
        <v>77</v>
      </c>
      <c r="B78" s="1" t="s">
        <v>18</v>
      </c>
      <c r="C78" s="1">
        <v>2018</v>
      </c>
      <c r="D78" s="7">
        <v>38907989105</v>
      </c>
      <c r="E78" s="7">
        <f>D77</f>
        <v>39557537456</v>
      </c>
      <c r="F78" s="7">
        <f>G77</f>
        <v>489900968404.5</v>
      </c>
      <c r="G78" s="7">
        <v>525624125551.5</v>
      </c>
      <c r="H78" s="9">
        <f t="shared" si="27"/>
        <v>-6.7235307105593112E-3</v>
      </c>
    </row>
    <row r="79" spans="1:8" x14ac:dyDescent="0.35">
      <c r="A79" s="1">
        <v>78</v>
      </c>
      <c r="B79" s="1" t="s">
        <v>18</v>
      </c>
      <c r="C79" s="1">
        <v>2019</v>
      </c>
      <c r="D79" s="7">
        <v>-141377648692</v>
      </c>
      <c r="E79" s="7">
        <f t="shared" ref="E79:E81" si="32">D78</f>
        <v>38907989105</v>
      </c>
      <c r="F79" s="7">
        <f t="shared" ref="F79:F81" si="33">G78</f>
        <v>525624125551.5</v>
      </c>
      <c r="G79" s="7">
        <v>480864783071</v>
      </c>
      <c r="H79" s="9">
        <f t="shared" si="27"/>
        <v>-0.36802953248825521</v>
      </c>
    </row>
    <row r="80" spans="1:8" x14ac:dyDescent="0.35">
      <c r="A80" s="1">
        <v>79</v>
      </c>
      <c r="B80" s="1" t="s">
        <v>18</v>
      </c>
      <c r="C80" s="1">
        <v>2020</v>
      </c>
      <c r="D80" s="7">
        <v>-87861108382</v>
      </c>
      <c r="E80" s="7">
        <f t="shared" si="32"/>
        <v>-141377648692</v>
      </c>
      <c r="F80" s="7">
        <f t="shared" si="33"/>
        <v>480864783071</v>
      </c>
      <c r="G80" s="7">
        <v>376502006661</v>
      </c>
      <c r="H80" s="9">
        <f t="shared" si="27"/>
        <v>6.0645481826725495E-2</v>
      </c>
    </row>
    <row r="81" spans="1:8" x14ac:dyDescent="0.35">
      <c r="A81" s="1">
        <v>80</v>
      </c>
      <c r="B81" s="1" t="s">
        <v>18</v>
      </c>
      <c r="C81" s="1">
        <v>2021</v>
      </c>
      <c r="D81" s="7">
        <v>-52857656404</v>
      </c>
      <c r="E81" s="7">
        <f t="shared" si="32"/>
        <v>-87861108382</v>
      </c>
      <c r="F81" s="7">
        <f t="shared" si="33"/>
        <v>376502006661</v>
      </c>
      <c r="G81" s="7">
        <v>300598582653</v>
      </c>
      <c r="H81" s="9">
        <f t="shared" si="27"/>
        <v>5.7520257801000119E-2</v>
      </c>
    </row>
    <row r="82" spans="1:8" x14ac:dyDescent="0.35">
      <c r="A82" s="1">
        <v>81</v>
      </c>
      <c r="B82" s="1" t="s">
        <v>19</v>
      </c>
      <c r="C82" s="1">
        <v>2017</v>
      </c>
      <c r="D82" s="7">
        <v>1683031000000</v>
      </c>
      <c r="E82" s="7"/>
      <c r="F82" s="7"/>
      <c r="G82" s="7">
        <v>25722439000000</v>
      </c>
      <c r="H82" s="9" t="e">
        <f t="shared" si="27"/>
        <v>#DIV/0!</v>
      </c>
    </row>
    <row r="83" spans="1:8" x14ac:dyDescent="0.35">
      <c r="A83" s="1">
        <v>82</v>
      </c>
      <c r="B83" s="1" t="s">
        <v>19</v>
      </c>
      <c r="C83" s="1">
        <v>2018</v>
      </c>
      <c r="D83" s="7">
        <v>1957051000000</v>
      </c>
      <c r="E83" s="7">
        <f>D82</f>
        <v>1683031000000</v>
      </c>
      <c r="F83" s="7">
        <f>G82</f>
        <v>25722439000000</v>
      </c>
      <c r="G83" s="7">
        <v>27362022500000</v>
      </c>
      <c r="H83" s="9">
        <f t="shared" si="27"/>
        <v>6.0938952305997357E-3</v>
      </c>
    </row>
    <row r="84" spans="1:8" x14ac:dyDescent="0.35">
      <c r="A84" s="1">
        <v>83</v>
      </c>
      <c r="B84" s="1" t="s">
        <v>19</v>
      </c>
      <c r="C84" s="1">
        <v>2019</v>
      </c>
      <c r="D84" s="7">
        <v>2286628000000</v>
      </c>
      <c r="E84" s="7">
        <f t="shared" ref="E84:E86" si="34">D83</f>
        <v>1957051000000</v>
      </c>
      <c r="F84" s="7">
        <f t="shared" ref="F84:F86" si="35">G83</f>
        <v>27362022500000</v>
      </c>
      <c r="G84" s="7">
        <v>29271055500000</v>
      </c>
      <c r="H84" s="9">
        <f t="shared" si="27"/>
        <v>6.594727913223089E-3</v>
      </c>
    </row>
    <row r="85" spans="1:8" x14ac:dyDescent="0.35">
      <c r="A85" s="1">
        <v>84</v>
      </c>
      <c r="B85" s="1" t="s">
        <v>19</v>
      </c>
      <c r="C85" s="1">
        <v>2020</v>
      </c>
      <c r="D85" s="7">
        <v>2956963000000</v>
      </c>
      <c r="E85" s="7">
        <f t="shared" si="34"/>
        <v>2286628000000</v>
      </c>
      <c r="F85" s="7">
        <f t="shared" si="35"/>
        <v>29271055500000</v>
      </c>
      <c r="G85" s="7">
        <v>31335553500000</v>
      </c>
      <c r="H85" s="9">
        <f t="shared" si="27"/>
        <v>1.6245390730988435E-2</v>
      </c>
    </row>
    <row r="86" spans="1:8" x14ac:dyDescent="0.35">
      <c r="A86" s="1">
        <v>85</v>
      </c>
      <c r="B86" s="1" t="s">
        <v>19</v>
      </c>
      <c r="C86" s="1">
        <v>2021</v>
      </c>
      <c r="D86" s="7">
        <v>1079187000000</v>
      </c>
      <c r="E86" s="7">
        <f t="shared" si="34"/>
        <v>2956963000000</v>
      </c>
      <c r="F86" s="7">
        <f t="shared" si="35"/>
        <v>31335553500000</v>
      </c>
      <c r="G86" s="7">
        <v>32787151000000</v>
      </c>
      <c r="H86" s="9">
        <f t="shared" si="27"/>
        <v>-6.1449536541231434E-2</v>
      </c>
    </row>
    <row r="87" spans="1:8" x14ac:dyDescent="0.35">
      <c r="A87" s="1">
        <v>86</v>
      </c>
      <c r="B87" s="1" t="s">
        <v>20</v>
      </c>
      <c r="C87" s="1">
        <v>2017</v>
      </c>
      <c r="D87" s="7">
        <v>431708000000</v>
      </c>
      <c r="E87" s="7"/>
      <c r="F87" s="7"/>
      <c r="G87" s="7">
        <v>24858569000000</v>
      </c>
      <c r="H87" s="9" t="e">
        <f t="shared" si="27"/>
        <v>#DIV/0!</v>
      </c>
    </row>
    <row r="88" spans="1:8" x14ac:dyDescent="0.35">
      <c r="A88" s="1">
        <v>87</v>
      </c>
      <c r="B88" s="1" t="s">
        <v>20</v>
      </c>
      <c r="C88" s="1">
        <v>2018</v>
      </c>
      <c r="D88" s="7">
        <v>542184000000</v>
      </c>
      <c r="E88" s="7">
        <f>D87</f>
        <v>431708000000</v>
      </c>
      <c r="F88" s="7">
        <f>G87</f>
        <v>24858569000000</v>
      </c>
      <c r="G88" s="7">
        <v>28359098500000</v>
      </c>
      <c r="H88" s="9">
        <f t="shared" si="27"/>
        <v>1.7519534506663936E-3</v>
      </c>
    </row>
    <row r="89" spans="1:8" x14ac:dyDescent="0.35">
      <c r="A89" s="1">
        <v>88</v>
      </c>
      <c r="B89" s="1" t="s">
        <v>20</v>
      </c>
      <c r="C89" s="1">
        <v>2019</v>
      </c>
      <c r="D89" s="7">
        <v>483836000000</v>
      </c>
      <c r="E89" s="7">
        <f t="shared" ref="E89:E91" si="36">D88</f>
        <v>542184000000</v>
      </c>
      <c r="F89" s="7">
        <f t="shared" ref="F89:F91" si="37">G88</f>
        <v>28359098500000</v>
      </c>
      <c r="G89" s="7">
        <v>33286064500000</v>
      </c>
      <c r="H89" s="9">
        <f t="shared" si="27"/>
        <v>-4.5828277303712629E-3</v>
      </c>
    </row>
    <row r="90" spans="1:8" x14ac:dyDescent="0.35">
      <c r="A90" s="1">
        <v>89</v>
      </c>
      <c r="B90" s="1" t="s">
        <v>20</v>
      </c>
      <c r="C90" s="1">
        <v>2020</v>
      </c>
      <c r="D90" s="7">
        <v>541826000000</v>
      </c>
      <c r="E90" s="7">
        <f t="shared" si="36"/>
        <v>483836000000</v>
      </c>
      <c r="F90" s="7">
        <f t="shared" si="37"/>
        <v>33286064500000</v>
      </c>
      <c r="G90" s="7">
        <v>37497187500000</v>
      </c>
      <c r="H90" s="22">
        <f>(D90/G90)-(E90/F90)</f>
        <v>-8.5915490252322022E-5</v>
      </c>
    </row>
    <row r="91" spans="1:8" x14ac:dyDescent="0.35">
      <c r="A91" s="1">
        <v>90</v>
      </c>
      <c r="B91" s="1" t="s">
        <v>20</v>
      </c>
      <c r="C91" s="1">
        <v>2021</v>
      </c>
      <c r="D91" s="7">
        <v>627223000000</v>
      </c>
      <c r="E91" s="7">
        <f t="shared" si="36"/>
        <v>541826000000</v>
      </c>
      <c r="F91" s="7">
        <f t="shared" si="37"/>
        <v>37497187500000</v>
      </c>
      <c r="G91" s="7">
        <v>40927755000000</v>
      </c>
      <c r="H91" s="9">
        <f t="shared" si="27"/>
        <v>8.7534887787104297E-4</v>
      </c>
    </row>
    <row r="92" spans="1:8" x14ac:dyDescent="0.35">
      <c r="A92" s="1">
        <v>91</v>
      </c>
      <c r="B92" s="1" t="s">
        <v>21</v>
      </c>
      <c r="C92" s="1">
        <v>2017</v>
      </c>
      <c r="D92" s="7">
        <v>2743483000000</v>
      </c>
      <c r="E92" s="7"/>
      <c r="F92" s="7"/>
      <c r="G92" s="7">
        <v>81540954500000</v>
      </c>
      <c r="H92" s="9" t="e">
        <f t="shared" si="27"/>
        <v>#DIV/0!</v>
      </c>
    </row>
    <row r="93" spans="1:8" x14ac:dyDescent="0.35">
      <c r="A93" s="1">
        <v>92</v>
      </c>
      <c r="B93" s="1" t="s">
        <v>21</v>
      </c>
      <c r="C93" s="1">
        <v>2018</v>
      </c>
      <c r="D93" s="7">
        <v>2150833000000</v>
      </c>
      <c r="E93" s="7">
        <f>D92</f>
        <v>2743483000000</v>
      </c>
      <c r="F93" s="7">
        <f>G92</f>
        <v>81540954500000</v>
      </c>
      <c r="G93" s="7">
        <v>94875119500000</v>
      </c>
      <c r="H93" s="9">
        <f t="shared" si="27"/>
        <v>-1.0975312950555743E-2</v>
      </c>
    </row>
    <row r="94" spans="1:8" x14ac:dyDescent="0.35">
      <c r="A94" s="1">
        <v>93</v>
      </c>
      <c r="B94" s="1" t="s">
        <v>21</v>
      </c>
      <c r="C94" s="1">
        <v>2019</v>
      </c>
      <c r="D94" s="7">
        <v>3731875000000</v>
      </c>
      <c r="E94" s="7">
        <f t="shared" ref="E94:E96" si="38">D93</f>
        <v>2150833000000</v>
      </c>
      <c r="F94" s="7">
        <f t="shared" ref="F94:F96" si="39">G93</f>
        <v>94875119500000</v>
      </c>
      <c r="G94" s="7">
        <v>100144154000000</v>
      </c>
      <c r="H94" s="9">
        <f t="shared" si="27"/>
        <v>1.4594882973401068E-2</v>
      </c>
    </row>
    <row r="95" spans="1:8" x14ac:dyDescent="0.35">
      <c r="A95" s="1">
        <v>94</v>
      </c>
      <c r="B95" s="1" t="s">
        <v>21</v>
      </c>
      <c r="C95" s="1">
        <v>2020</v>
      </c>
      <c r="D95" s="7">
        <v>157949000000</v>
      </c>
      <c r="E95" s="7">
        <f t="shared" si="38"/>
        <v>3731875000000</v>
      </c>
      <c r="F95" s="7">
        <f t="shared" si="39"/>
        <v>100144154000000</v>
      </c>
      <c r="G95" s="7">
        <v>104040542000000</v>
      </c>
      <c r="H95" s="9">
        <f t="shared" si="27"/>
        <v>-3.5746882397829666E-2</v>
      </c>
    </row>
    <row r="96" spans="1:8" x14ac:dyDescent="0.35">
      <c r="A96" s="1">
        <v>95</v>
      </c>
      <c r="B96" s="1" t="s">
        <v>21</v>
      </c>
      <c r="C96" s="1">
        <v>2021</v>
      </c>
      <c r="D96" s="7">
        <v>559660000000</v>
      </c>
      <c r="E96" s="7">
        <f t="shared" si="38"/>
        <v>157949000000</v>
      </c>
      <c r="F96" s="7">
        <f t="shared" si="39"/>
        <v>104040542000000</v>
      </c>
      <c r="G96" s="7">
        <v>112983113000000</v>
      </c>
      <c r="H96" s="9">
        <f t="shared" si="27"/>
        <v>3.4353350542689126E-3</v>
      </c>
    </row>
    <row r="97" spans="1:8" x14ac:dyDescent="0.35">
      <c r="A97" s="1">
        <v>96</v>
      </c>
      <c r="B97" s="1" t="s">
        <v>22</v>
      </c>
      <c r="C97" s="1">
        <v>2017</v>
      </c>
      <c r="D97" s="7">
        <v>174513000000</v>
      </c>
      <c r="E97" s="7"/>
      <c r="F97" s="7"/>
      <c r="G97" s="7">
        <v>7208324000000</v>
      </c>
      <c r="H97" s="9" t="e">
        <f t="shared" si="27"/>
        <v>#DIV/0!</v>
      </c>
    </row>
    <row r="98" spans="1:8" x14ac:dyDescent="0.35">
      <c r="A98" s="1">
        <v>97</v>
      </c>
      <c r="B98" s="1" t="s">
        <v>22</v>
      </c>
      <c r="C98" s="1">
        <v>2018</v>
      </c>
      <c r="D98" s="7">
        <v>235812000000</v>
      </c>
      <c r="E98" s="7">
        <f>D97</f>
        <v>174513000000</v>
      </c>
      <c r="F98" s="7">
        <f>G97</f>
        <v>7208324000000</v>
      </c>
      <c r="G98" s="7">
        <v>8286519500000</v>
      </c>
      <c r="H98" s="9">
        <f t="shared" si="27"/>
        <v>4.2473761546137426E-3</v>
      </c>
    </row>
    <row r="99" spans="1:8" x14ac:dyDescent="0.35">
      <c r="A99" s="1">
        <v>98</v>
      </c>
      <c r="B99" s="1" t="s">
        <v>22</v>
      </c>
      <c r="C99" s="1">
        <v>2019</v>
      </c>
      <c r="D99" s="7">
        <v>263323000000</v>
      </c>
      <c r="E99" s="7">
        <f t="shared" ref="E99:E101" si="40">D98</f>
        <v>235812000000</v>
      </c>
      <c r="F99" s="7">
        <f t="shared" ref="F99:F101" si="41">G98</f>
        <v>8286519500000</v>
      </c>
      <c r="G99" s="7">
        <v>8549238500000</v>
      </c>
      <c r="H99" s="9">
        <f t="shared" si="27"/>
        <v>2.3434514891027408E-3</v>
      </c>
    </row>
    <row r="100" spans="1:8" x14ac:dyDescent="0.35">
      <c r="A100" s="1">
        <v>99</v>
      </c>
      <c r="B100" s="1" t="s">
        <v>22</v>
      </c>
      <c r="C100" s="1">
        <v>2020</v>
      </c>
      <c r="D100" s="7">
        <v>74130000000</v>
      </c>
      <c r="E100" s="7">
        <f t="shared" si="40"/>
        <v>263323000000</v>
      </c>
      <c r="F100" s="7">
        <f t="shared" si="41"/>
        <v>8549238500000</v>
      </c>
      <c r="G100" s="7">
        <v>6777436000000</v>
      </c>
      <c r="H100" s="9">
        <f t="shared" si="27"/>
        <v>-1.9862990279446199E-2</v>
      </c>
    </row>
    <row r="101" spans="1:8" x14ac:dyDescent="0.35">
      <c r="A101" s="1">
        <v>100</v>
      </c>
      <c r="B101" s="1" t="s">
        <v>22</v>
      </c>
      <c r="C101" s="1">
        <v>2021</v>
      </c>
      <c r="D101" s="7">
        <v>120302000000</v>
      </c>
      <c r="E101" s="7">
        <f t="shared" si="40"/>
        <v>74130000000</v>
      </c>
      <c r="F101" s="7">
        <f t="shared" si="41"/>
        <v>6777436000000</v>
      </c>
      <c r="G101" s="7">
        <v>5217393000000</v>
      </c>
      <c r="H101" s="9">
        <f t="shared" si="27"/>
        <v>1.2120111174538284E-2</v>
      </c>
    </row>
    <row r="102" spans="1:8" ht="15.5" x14ac:dyDescent="0.35">
      <c r="A102" s="1">
        <v>101</v>
      </c>
      <c r="B102" s="2" t="s">
        <v>78</v>
      </c>
      <c r="C102" s="25">
        <v>2017</v>
      </c>
      <c r="D102" s="27">
        <v>49820399000</v>
      </c>
      <c r="E102" s="7"/>
      <c r="F102" s="7"/>
      <c r="G102" s="7">
        <v>1070215752000</v>
      </c>
      <c r="H102" s="9" t="e">
        <f t="shared" si="27"/>
        <v>#DIV/0!</v>
      </c>
    </row>
    <row r="103" spans="1:8" ht="15.5" x14ac:dyDescent="0.35">
      <c r="A103" s="1">
        <v>102</v>
      </c>
      <c r="B103" s="2"/>
      <c r="C103" s="25">
        <v>2018</v>
      </c>
      <c r="D103" s="27">
        <v>49028601000</v>
      </c>
      <c r="E103" s="7">
        <f>D102</f>
        <v>49820399000</v>
      </c>
      <c r="F103" s="7">
        <f>G102</f>
        <v>1070215752000</v>
      </c>
      <c r="G103" s="7">
        <v>1068987124000</v>
      </c>
      <c r="H103" s="9">
        <f t="shared" si="27"/>
        <v>-6.8719558886866372E-4</v>
      </c>
    </row>
    <row r="104" spans="1:8" ht="15.5" x14ac:dyDescent="0.35">
      <c r="A104" s="1">
        <v>103</v>
      </c>
      <c r="B104" s="2"/>
      <c r="C104" s="25">
        <v>2019</v>
      </c>
      <c r="D104" s="27">
        <v>33647050000</v>
      </c>
      <c r="E104" s="7">
        <f t="shared" ref="E104:E106" si="42">D103</f>
        <v>49028601000</v>
      </c>
      <c r="F104" s="7">
        <f t="shared" ref="F104:F106" si="43">G103</f>
        <v>1068987124000</v>
      </c>
      <c r="G104" s="7">
        <v>1109718793500</v>
      </c>
      <c r="H104" s="9">
        <f t="shared" si="27"/>
        <v>-1.5544199414301935E-2</v>
      </c>
    </row>
    <row r="105" spans="1:8" ht="15.5" x14ac:dyDescent="0.35">
      <c r="A105" s="1">
        <v>104</v>
      </c>
      <c r="B105" s="2"/>
      <c r="C105" s="25">
        <v>2020</v>
      </c>
      <c r="D105" s="27">
        <v>31060958000</v>
      </c>
      <c r="E105" s="7">
        <f t="shared" si="42"/>
        <v>33647050000</v>
      </c>
      <c r="F105" s="7">
        <f t="shared" si="43"/>
        <v>1109718793500</v>
      </c>
      <c r="G105" s="7">
        <v>1008957633000</v>
      </c>
      <c r="H105" s="9">
        <f t="shared" si="27"/>
        <v>4.6485652897514801E-4</v>
      </c>
    </row>
    <row r="106" spans="1:8" ht="15.5" x14ac:dyDescent="0.35">
      <c r="A106" s="1">
        <v>105</v>
      </c>
      <c r="B106" s="2"/>
      <c r="C106" s="25">
        <v>2021</v>
      </c>
      <c r="D106" s="27">
        <v>22837331000</v>
      </c>
      <c r="E106" s="7">
        <f t="shared" si="42"/>
        <v>31060958000</v>
      </c>
      <c r="F106" s="7">
        <f t="shared" si="43"/>
        <v>1008957633000</v>
      </c>
      <c r="G106" s="7">
        <v>841308440000</v>
      </c>
      <c r="H106" s="9">
        <f t="shared" si="27"/>
        <v>-3.6401795936735724E-3</v>
      </c>
    </row>
    <row r="107" spans="1:8" ht="15.5" x14ac:dyDescent="0.35">
      <c r="A107" s="1">
        <v>106</v>
      </c>
      <c r="B107" s="2" t="s">
        <v>79</v>
      </c>
      <c r="C107" s="25">
        <v>2017</v>
      </c>
      <c r="D107" s="27">
        <v>121819000000</v>
      </c>
      <c r="E107" s="7"/>
      <c r="F107" s="7"/>
      <c r="G107" s="7">
        <v>105924500500000</v>
      </c>
      <c r="H107" s="9" t="e">
        <f t="shared" si="27"/>
        <v>#DIV/0!</v>
      </c>
    </row>
    <row r="108" spans="1:8" ht="15.5" x14ac:dyDescent="0.35">
      <c r="A108" s="1">
        <v>107</v>
      </c>
      <c r="B108" s="2"/>
      <c r="C108" s="25">
        <v>2018</v>
      </c>
      <c r="D108" s="27">
        <v>216335000000</v>
      </c>
      <c r="E108" s="7">
        <f>D107</f>
        <v>121819000000</v>
      </c>
      <c r="F108" s="7">
        <f>G107</f>
        <v>105924500500000</v>
      </c>
      <c r="G108" s="7">
        <v>101043461000000</v>
      </c>
      <c r="H108" s="9">
        <f t="shared" si="27"/>
        <v>9.90954415314633E-4</v>
      </c>
    </row>
    <row r="109" spans="1:8" ht="15.5" x14ac:dyDescent="0.35">
      <c r="A109" s="1">
        <v>108</v>
      </c>
      <c r="B109" s="2"/>
      <c r="C109" s="25">
        <v>2019</v>
      </c>
      <c r="D109" s="27">
        <v>133794000000</v>
      </c>
      <c r="E109" s="7">
        <f t="shared" ref="E109:E111" si="44">D108</f>
        <v>216335000000</v>
      </c>
      <c r="F109" s="7">
        <f t="shared" ref="F109:F111" si="45">G108</f>
        <v>101043461000000</v>
      </c>
      <c r="G109" s="7">
        <v>97954085500000</v>
      </c>
      <c r="H109" s="9">
        <f t="shared" si="27"/>
        <v>-7.751245659737881E-4</v>
      </c>
    </row>
    <row r="110" spans="1:8" ht="15.5" x14ac:dyDescent="0.35">
      <c r="A110" s="1">
        <v>109</v>
      </c>
      <c r="B110" s="2"/>
      <c r="C110" s="25">
        <v>2020</v>
      </c>
      <c r="D110" s="27">
        <v>-3922869000000</v>
      </c>
      <c r="E110" s="7">
        <f t="shared" si="44"/>
        <v>133794000000</v>
      </c>
      <c r="F110" s="7">
        <f t="shared" si="45"/>
        <v>97954085500000</v>
      </c>
      <c r="G110" s="7">
        <v>90101413000000</v>
      </c>
      <c r="H110" s="9">
        <f t="shared" si="27"/>
        <v>-4.4904258645875765E-2</v>
      </c>
    </row>
    <row r="111" spans="1:8" ht="15.5" x14ac:dyDescent="0.35">
      <c r="A111" s="1">
        <v>110</v>
      </c>
      <c r="B111" s="2"/>
      <c r="C111" s="25">
        <v>2021</v>
      </c>
      <c r="D111" s="27">
        <v>-3144025000000</v>
      </c>
      <c r="E111" s="7">
        <f t="shared" si="44"/>
        <v>-3922869000000</v>
      </c>
      <c r="F111" s="7">
        <f t="shared" si="45"/>
        <v>90101413000000</v>
      </c>
      <c r="G111" s="7">
        <v>84577126000000</v>
      </c>
      <c r="H111" s="9">
        <f t="shared" si="27"/>
        <v>6.3649068373459808E-3</v>
      </c>
    </row>
    <row r="112" spans="1:8" ht="15.5" x14ac:dyDescent="0.35">
      <c r="A112" s="1">
        <v>111</v>
      </c>
      <c r="B112" s="2" t="s">
        <v>80</v>
      </c>
      <c r="C112" s="25">
        <v>2017</v>
      </c>
      <c r="D112" s="27">
        <v>353573133007</v>
      </c>
      <c r="E112" s="7"/>
      <c r="F112" s="7"/>
      <c r="G112" s="7">
        <v>11203034324962.5</v>
      </c>
      <c r="H112" s="9" t="e">
        <f t="shared" si="27"/>
        <v>#DIV/0!</v>
      </c>
    </row>
    <row r="113" spans="1:8" ht="15.5" x14ac:dyDescent="0.35">
      <c r="A113" s="1">
        <v>112</v>
      </c>
      <c r="B113" s="2"/>
      <c r="C113" s="25">
        <v>2018</v>
      </c>
      <c r="D113" s="27">
        <v>355549291067</v>
      </c>
      <c r="E113" s="7">
        <f>D112</f>
        <v>353573133007</v>
      </c>
      <c r="F113" s="7">
        <f>G112</f>
        <v>11203034324962.5</v>
      </c>
      <c r="G113" s="7">
        <v>11955461912645</v>
      </c>
      <c r="H113" s="9">
        <f t="shared" si="27"/>
        <v>-1.8209934012904626E-3</v>
      </c>
    </row>
    <row r="114" spans="1:8" ht="15.5" x14ac:dyDescent="0.35">
      <c r="A114" s="1">
        <v>113</v>
      </c>
      <c r="B114" s="2"/>
      <c r="C114" s="25">
        <v>2019</v>
      </c>
      <c r="D114" s="27">
        <v>330773591197</v>
      </c>
      <c r="E114" s="7">
        <f t="shared" ref="E114:E116" si="46">D113</f>
        <v>355549291067</v>
      </c>
      <c r="F114" s="7">
        <f t="shared" ref="F114:F116" si="47">G113</f>
        <v>11955461912645</v>
      </c>
      <c r="G114" s="7">
        <v>12496649072098.5</v>
      </c>
      <c r="H114" s="9">
        <f t="shared" si="27"/>
        <v>-3.2705029593140811E-3</v>
      </c>
    </row>
    <row r="115" spans="1:8" ht="15.5" x14ac:dyDescent="0.35">
      <c r="A115" s="1">
        <v>114</v>
      </c>
      <c r="B115" s="2"/>
      <c r="C115" s="25">
        <v>2020</v>
      </c>
      <c r="D115" s="27">
        <v>419976181196</v>
      </c>
      <c r="E115" s="7">
        <f t="shared" si="46"/>
        <v>330773591197</v>
      </c>
      <c r="F115" s="7">
        <f t="shared" si="47"/>
        <v>12496649072098.5</v>
      </c>
      <c r="G115" s="7">
        <v>13529987003898</v>
      </c>
      <c r="H115" s="9">
        <f t="shared" si="27"/>
        <v>4.5714150268450354E-3</v>
      </c>
    </row>
    <row r="116" spans="1:8" ht="15.5" x14ac:dyDescent="0.35">
      <c r="A116" s="1">
        <v>115</v>
      </c>
      <c r="B116" s="2"/>
      <c r="C116" s="25">
        <v>2021</v>
      </c>
      <c r="D116" s="27">
        <v>665573085996</v>
      </c>
      <c r="E116" s="7">
        <f t="shared" si="46"/>
        <v>419976181196</v>
      </c>
      <c r="F116" s="7">
        <f t="shared" si="47"/>
        <v>13529987003898</v>
      </c>
      <c r="G116" s="7">
        <v>15071453766886.5</v>
      </c>
      <c r="H116" s="9">
        <f t="shared" si="27"/>
        <v>1.3120775611325287E-2</v>
      </c>
    </row>
    <row r="117" spans="1:8" ht="15.5" x14ac:dyDescent="0.35">
      <c r="A117" s="1">
        <v>116</v>
      </c>
      <c r="B117" s="2" t="s">
        <v>81</v>
      </c>
      <c r="C117" s="25">
        <v>2017</v>
      </c>
      <c r="D117" s="27">
        <v>36806841000000</v>
      </c>
      <c r="E117" s="7"/>
      <c r="F117" s="7"/>
      <c r="G117" s="7">
        <v>1002936900500000</v>
      </c>
      <c r="H117" s="9" t="e">
        <f t="shared" si="27"/>
        <v>#DIV/0!</v>
      </c>
    </row>
    <row r="118" spans="1:8" ht="15.5" x14ac:dyDescent="0.35">
      <c r="A118" s="1">
        <v>117</v>
      </c>
      <c r="B118" s="2"/>
      <c r="C118" s="25">
        <v>2018</v>
      </c>
      <c r="D118" s="27">
        <v>41725877000000</v>
      </c>
      <c r="E118" s="7">
        <f>D117</f>
        <v>36806841000000</v>
      </c>
      <c r="F118" s="7">
        <f>G117</f>
        <v>1002936900500000</v>
      </c>
      <c r="G118" s="7">
        <v>1212172890500000</v>
      </c>
      <c r="H118" s="9">
        <f t="shared" si="27"/>
        <v>-2.2766785753582514E-3</v>
      </c>
    </row>
    <row r="119" spans="1:8" ht="15.5" x14ac:dyDescent="0.35">
      <c r="A119" s="1">
        <v>118</v>
      </c>
      <c r="B119" s="2"/>
      <c r="C119" s="25">
        <v>2019</v>
      </c>
      <c r="D119" s="27">
        <v>43364053000000</v>
      </c>
      <c r="E119" s="7">
        <f t="shared" ref="E119:E121" si="48">D118</f>
        <v>41725877000000</v>
      </c>
      <c r="F119" s="7">
        <f t="shared" ref="F119:F121" si="49">G118</f>
        <v>1212172890500000</v>
      </c>
      <c r="G119" s="7">
        <v>1356828566000000</v>
      </c>
      <c r="H119" s="9">
        <f t="shared" si="27"/>
        <v>-2.4625194742277229E-3</v>
      </c>
    </row>
    <row r="120" spans="1:8" ht="15.5" x14ac:dyDescent="0.35">
      <c r="A120" s="1">
        <v>119</v>
      </c>
      <c r="B120" s="2"/>
      <c r="C120" s="25">
        <v>2020</v>
      </c>
      <c r="D120" s="27">
        <v>26724846000000</v>
      </c>
      <c r="E120" s="7">
        <f t="shared" si="48"/>
        <v>43364053000000</v>
      </c>
      <c r="F120" s="7">
        <f t="shared" si="49"/>
        <v>1356828566000000</v>
      </c>
      <c r="G120" s="7">
        <v>1513412092000000</v>
      </c>
      <c r="H120" s="9">
        <f t="shared" si="27"/>
        <v>-1.4301190609578265E-2</v>
      </c>
    </row>
    <row r="121" spans="1:8" ht="15.5" x14ac:dyDescent="0.35">
      <c r="A121" s="1">
        <v>120</v>
      </c>
      <c r="B121" s="2"/>
      <c r="C121" s="25">
        <v>2021</v>
      </c>
      <c r="D121" s="27">
        <v>40992065000000</v>
      </c>
      <c r="E121" s="7">
        <f t="shared" si="48"/>
        <v>26724846000000</v>
      </c>
      <c r="F121" s="7">
        <f t="shared" si="49"/>
        <v>1513412092000000</v>
      </c>
      <c r="G121" s="7">
        <v>1644081539000000</v>
      </c>
      <c r="H121" s="9">
        <f t="shared" si="27"/>
        <v>7.2744386217905022E-3</v>
      </c>
    </row>
    <row r="122" spans="1:8" ht="15.5" x14ac:dyDescent="0.35">
      <c r="A122" s="1">
        <v>121</v>
      </c>
      <c r="B122" s="2" t="s">
        <v>82</v>
      </c>
      <c r="C122" s="25">
        <v>2017</v>
      </c>
      <c r="D122" s="27">
        <v>20053665389</v>
      </c>
      <c r="E122" s="7"/>
      <c r="F122" s="7"/>
      <c r="G122" s="7">
        <v>4925661715992.5</v>
      </c>
      <c r="H122" s="9" t="e">
        <f t="shared" si="27"/>
        <v>#DIV/0!</v>
      </c>
    </row>
    <row r="123" spans="1:8" ht="15.5" x14ac:dyDescent="0.35">
      <c r="A123" s="1">
        <v>122</v>
      </c>
      <c r="B123" s="2"/>
      <c r="C123" s="25">
        <v>2018</v>
      </c>
      <c r="D123" s="27">
        <v>-138324960848</v>
      </c>
      <c r="E123" s="7">
        <f>D122</f>
        <v>20053665389</v>
      </c>
      <c r="F123" s="7">
        <f>G122</f>
        <v>4925661715992.5</v>
      </c>
      <c r="G123" s="7">
        <v>4769262082390.5</v>
      </c>
      <c r="H123" s="9">
        <f t="shared" si="27"/>
        <v>-3.3074693618366992E-2</v>
      </c>
    </row>
    <row r="124" spans="1:8" ht="15.5" x14ac:dyDescent="0.35">
      <c r="A124" s="1">
        <v>123</v>
      </c>
      <c r="B124" s="2"/>
      <c r="C124" s="25">
        <v>2019</v>
      </c>
      <c r="D124" s="27">
        <v>17858408759</v>
      </c>
      <c r="E124" s="7">
        <f t="shared" ref="E124:E126" si="50">D123</f>
        <v>-138324960848</v>
      </c>
      <c r="F124" s="7">
        <f t="shared" ref="F124:F126" si="51">G123</f>
        <v>4769262082390.5</v>
      </c>
      <c r="G124" s="7">
        <v>4828731897869.5</v>
      </c>
      <c r="H124" s="9">
        <f t="shared" si="27"/>
        <v>3.2701794508531959E-2</v>
      </c>
    </row>
    <row r="125" spans="1:8" ht="15.5" x14ac:dyDescent="0.35">
      <c r="A125" s="1">
        <v>124</v>
      </c>
      <c r="B125" s="2"/>
      <c r="C125" s="25">
        <v>2020</v>
      </c>
      <c r="D125" s="27">
        <v>15827358645</v>
      </c>
      <c r="E125" s="7">
        <f t="shared" si="50"/>
        <v>17858408759</v>
      </c>
      <c r="F125" s="7">
        <f t="shared" si="51"/>
        <v>4828731897869.5</v>
      </c>
      <c r="G125" s="7">
        <v>5272529523777.5</v>
      </c>
      <c r="H125" s="9">
        <f t="shared" si="27"/>
        <v>-6.9651109779867576E-4</v>
      </c>
    </row>
    <row r="126" spans="1:8" ht="15.5" x14ac:dyDescent="0.35">
      <c r="A126" s="1">
        <v>125</v>
      </c>
      <c r="B126" s="2"/>
      <c r="C126" s="25">
        <v>2021</v>
      </c>
      <c r="D126" s="27">
        <v>-990420522259</v>
      </c>
      <c r="E126" s="7">
        <f t="shared" si="50"/>
        <v>15827358645</v>
      </c>
      <c r="F126" s="7">
        <f t="shared" si="51"/>
        <v>5272529523777.5</v>
      </c>
      <c r="G126" s="7">
        <v>8379566541410.5</v>
      </c>
      <c r="H126" s="9">
        <f t="shared" si="27"/>
        <v>-0.12119657315479732</v>
      </c>
    </row>
    <row r="127" spans="1:8" ht="15.5" x14ac:dyDescent="0.35">
      <c r="A127" s="1">
        <v>126</v>
      </c>
      <c r="B127" s="2" t="s">
        <v>83</v>
      </c>
      <c r="C127" s="25">
        <v>2017</v>
      </c>
      <c r="D127" s="27">
        <v>24206000000</v>
      </c>
      <c r="E127" s="7"/>
      <c r="F127" s="7"/>
      <c r="G127" s="7">
        <v>2741217000000</v>
      </c>
      <c r="H127" s="9" t="e">
        <f t="shared" si="27"/>
        <v>#DIV/0!</v>
      </c>
    </row>
    <row r="128" spans="1:8" ht="15.5" x14ac:dyDescent="0.35">
      <c r="A128" s="1">
        <v>127</v>
      </c>
      <c r="B128" s="2"/>
      <c r="C128" s="25">
        <v>2018</v>
      </c>
      <c r="D128" s="27">
        <v>16935000000</v>
      </c>
      <c r="E128" s="7">
        <f>D127</f>
        <v>24206000000</v>
      </c>
      <c r="F128" s="7">
        <f>G127</f>
        <v>2741217000000</v>
      </c>
      <c r="G128" s="7">
        <v>3488759500000</v>
      </c>
      <c r="H128" s="9">
        <f t="shared" si="27"/>
        <v>-3.9762235475550751E-3</v>
      </c>
    </row>
    <row r="129" spans="1:8" ht="15.5" x14ac:dyDescent="0.35">
      <c r="A129" s="1">
        <v>128</v>
      </c>
      <c r="B129" s="2"/>
      <c r="C129" s="25">
        <v>2019</v>
      </c>
      <c r="D129" s="27">
        <v>9940000000</v>
      </c>
      <c r="E129" s="7">
        <f t="shared" ref="E129:E131" si="52">D128</f>
        <v>16935000000</v>
      </c>
      <c r="F129" s="7">
        <f t="shared" ref="F129:F131" si="53">G128</f>
        <v>3488759500000</v>
      </c>
      <c r="G129" s="7">
        <v>4558301500000</v>
      </c>
      <c r="H129" s="9">
        <f t="shared" si="27"/>
        <v>-2.6735241122787102E-3</v>
      </c>
    </row>
    <row r="130" spans="1:8" ht="15.5" x14ac:dyDescent="0.35">
      <c r="A130" s="1">
        <v>129</v>
      </c>
      <c r="B130" s="2"/>
      <c r="C130" s="25">
        <v>2020</v>
      </c>
      <c r="D130" s="27">
        <v>28621000000</v>
      </c>
      <c r="E130" s="7">
        <f t="shared" si="52"/>
        <v>9940000000</v>
      </c>
      <c r="F130" s="7">
        <f t="shared" si="53"/>
        <v>4558301500000</v>
      </c>
      <c r="G130" s="7">
        <v>6850057000000</v>
      </c>
      <c r="H130" s="9">
        <f t="shared" si="27"/>
        <v>1.9975766067764447E-3</v>
      </c>
    </row>
    <row r="131" spans="1:8" ht="15.5" x14ac:dyDescent="0.35">
      <c r="A131" s="1">
        <v>130</v>
      </c>
      <c r="B131" s="2"/>
      <c r="C131" s="25">
        <v>2021</v>
      </c>
      <c r="D131" s="27">
        <v>50177000000</v>
      </c>
      <c r="E131" s="7">
        <f t="shared" si="52"/>
        <v>28621000000</v>
      </c>
      <c r="F131" s="7">
        <f t="shared" si="53"/>
        <v>6850057000000</v>
      </c>
      <c r="G131" s="7">
        <v>11746767500000</v>
      </c>
      <c r="H131" s="31">
        <f>(D131/G131)-(E131/F131)</f>
        <v>9.3344704057911343E-5</v>
      </c>
    </row>
    <row r="132" spans="1:8" ht="15.5" x14ac:dyDescent="0.35">
      <c r="A132" s="1">
        <v>131</v>
      </c>
      <c r="B132" s="2" t="s">
        <v>84</v>
      </c>
      <c r="C132" s="25">
        <v>2017</v>
      </c>
      <c r="D132" s="27">
        <v>1636941000000</v>
      </c>
      <c r="E132" s="7"/>
      <c r="F132" s="7"/>
      <c r="G132" s="7">
        <v>47275765500000</v>
      </c>
      <c r="H132" s="9" t="e">
        <f t="shared" ref="H132:H176" si="54">(D132/G132)-(E132/F132)</f>
        <v>#DIV/0!</v>
      </c>
    </row>
    <row r="133" spans="1:8" ht="15.5" x14ac:dyDescent="0.35">
      <c r="A133" s="1">
        <v>132</v>
      </c>
      <c r="B133" s="2"/>
      <c r="C133" s="25">
        <v>2018</v>
      </c>
      <c r="D133" s="27">
        <v>1260308000000</v>
      </c>
      <c r="E133" s="7">
        <f>D132</f>
        <v>1636941000000</v>
      </c>
      <c r="F133" s="7">
        <f>G132</f>
        <v>47275765500000</v>
      </c>
      <c r="G133" s="7">
        <v>57103849500000</v>
      </c>
      <c r="H133" s="9">
        <f t="shared" si="54"/>
        <v>-1.2554916659391534E-2</v>
      </c>
    </row>
    <row r="134" spans="1:8" ht="15.5" x14ac:dyDescent="0.35">
      <c r="A134" s="1">
        <v>133</v>
      </c>
      <c r="B134" s="2"/>
      <c r="C134" s="25">
        <v>2019</v>
      </c>
      <c r="D134" s="27">
        <v>1864133000000</v>
      </c>
      <c r="E134" s="7">
        <f t="shared" ref="E134:E136" si="55">D133</f>
        <v>1260308000000</v>
      </c>
      <c r="F134" s="7">
        <f t="shared" ref="F134:F136" si="56">G133</f>
        <v>57103849500000</v>
      </c>
      <c r="G134" s="7">
        <v>69722715500000</v>
      </c>
      <c r="H134" s="9">
        <f t="shared" si="54"/>
        <v>4.6659237289093762E-3</v>
      </c>
    </row>
    <row r="135" spans="1:8" ht="15.5" x14ac:dyDescent="0.35">
      <c r="A135" s="1">
        <v>134</v>
      </c>
      <c r="B135" s="2"/>
      <c r="C135" s="25">
        <v>2020</v>
      </c>
      <c r="D135" s="27">
        <v>1507367000000</v>
      </c>
      <c r="E135" s="7">
        <f t="shared" si="55"/>
        <v>1864133000000</v>
      </c>
      <c r="F135" s="7">
        <f t="shared" si="56"/>
        <v>69722715500000</v>
      </c>
      <c r="G135" s="7">
        <v>80187882500000</v>
      </c>
      <c r="H135" s="9">
        <f t="shared" si="54"/>
        <v>-7.9384398164885073E-3</v>
      </c>
    </row>
    <row r="136" spans="1:8" ht="15.5" x14ac:dyDescent="0.35">
      <c r="A136" s="1">
        <v>135</v>
      </c>
      <c r="B136" s="2"/>
      <c r="C136" s="25">
        <v>2021</v>
      </c>
      <c r="D136" s="27">
        <v>1937974000000</v>
      </c>
      <c r="E136" s="7">
        <f t="shared" si="55"/>
        <v>1507367000000</v>
      </c>
      <c r="F136" s="7">
        <f t="shared" si="56"/>
        <v>80187882500000</v>
      </c>
      <c r="G136" s="7">
        <v>92171391000000</v>
      </c>
      <c r="H136" s="9">
        <f t="shared" si="54"/>
        <v>2.2278249746671419E-3</v>
      </c>
    </row>
    <row r="137" spans="1:8" ht="15.5" x14ac:dyDescent="0.35">
      <c r="A137" s="1">
        <v>136</v>
      </c>
      <c r="B137" s="2" t="s">
        <v>85</v>
      </c>
      <c r="C137" s="25">
        <v>2017</v>
      </c>
      <c r="D137" s="27">
        <v>27169751000000</v>
      </c>
      <c r="E137" s="7"/>
      <c r="F137" s="7"/>
      <c r="G137" s="7">
        <v>1081703428000000</v>
      </c>
      <c r="H137" s="9" t="e">
        <f t="shared" si="54"/>
        <v>#DIV/0!</v>
      </c>
    </row>
    <row r="138" spans="1:8" ht="15.5" x14ac:dyDescent="0.35">
      <c r="A138" s="1">
        <v>137</v>
      </c>
      <c r="B138" s="2"/>
      <c r="C138" s="25">
        <v>2018</v>
      </c>
      <c r="D138" s="27">
        <v>33905797000000</v>
      </c>
      <c r="E138" s="7">
        <f>D137</f>
        <v>27169751000000</v>
      </c>
      <c r="F138" s="7">
        <f>G137</f>
        <v>1081703428000000</v>
      </c>
      <c r="G138" s="7">
        <v>1163476470500000</v>
      </c>
      <c r="H138" s="9">
        <f t="shared" si="54"/>
        <v>4.0242383914219602E-3</v>
      </c>
    </row>
    <row r="139" spans="1:8" ht="15.5" x14ac:dyDescent="0.35">
      <c r="A139" s="1">
        <v>138</v>
      </c>
      <c r="B139" s="2"/>
      <c r="C139" s="25">
        <v>2019</v>
      </c>
      <c r="D139" s="27">
        <v>36441440000000</v>
      </c>
      <c r="E139" s="7">
        <f t="shared" ref="E139:E141" si="57">D138</f>
        <v>33905797000000</v>
      </c>
      <c r="F139" s="7">
        <f t="shared" ref="F139:F141" si="58">G138</f>
        <v>1163476470500000</v>
      </c>
      <c r="G139" s="7">
        <v>1260249214500000</v>
      </c>
      <c r="H139" s="9">
        <f t="shared" si="54"/>
        <v>-2.2574012669744278E-4</v>
      </c>
    </row>
    <row r="140" spans="1:8" ht="15.5" x14ac:dyDescent="0.35">
      <c r="A140" s="1">
        <v>139</v>
      </c>
      <c r="B140" s="2"/>
      <c r="C140" s="25">
        <v>2020</v>
      </c>
      <c r="D140" s="27">
        <v>23298041000000</v>
      </c>
      <c r="E140" s="7">
        <f t="shared" si="57"/>
        <v>36441440000000</v>
      </c>
      <c r="F140" s="7">
        <f t="shared" si="58"/>
        <v>1260249214500000</v>
      </c>
      <c r="G140" s="7">
        <v>1373790409500000</v>
      </c>
      <c r="H140" s="9">
        <f t="shared" si="54"/>
        <v>-1.1957109848919331E-2</v>
      </c>
    </row>
    <row r="141" spans="1:8" ht="15.5" x14ac:dyDescent="0.35">
      <c r="A141" s="1">
        <v>140</v>
      </c>
      <c r="B141" s="2"/>
      <c r="C141" s="25">
        <v>2021</v>
      </c>
      <c r="D141" s="27">
        <v>38358421000000</v>
      </c>
      <c r="E141" s="7">
        <f t="shared" si="57"/>
        <v>23298041000000</v>
      </c>
      <c r="F141" s="7">
        <f t="shared" si="58"/>
        <v>1373790409500000</v>
      </c>
      <c r="G141" s="7">
        <v>1577472806000000</v>
      </c>
      <c r="H141" s="9">
        <f t="shared" si="54"/>
        <v>7.3574267995432825E-3</v>
      </c>
    </row>
    <row r="142" spans="1:8" ht="15.5" x14ac:dyDescent="0.35">
      <c r="A142" s="1">
        <v>141</v>
      </c>
      <c r="B142" s="2" t="s">
        <v>86</v>
      </c>
      <c r="C142" s="25">
        <v>2017</v>
      </c>
      <c r="D142" s="27">
        <v>122379673005</v>
      </c>
      <c r="E142" s="7"/>
      <c r="F142" s="7"/>
      <c r="G142" s="7">
        <v>7067925334277.5</v>
      </c>
      <c r="H142" s="9" t="e">
        <f t="shared" si="54"/>
        <v>#DIV/0!</v>
      </c>
    </row>
    <row r="143" spans="1:8" ht="15.5" x14ac:dyDescent="0.35">
      <c r="A143" s="1">
        <v>142</v>
      </c>
      <c r="B143" s="2"/>
      <c r="C143" s="25">
        <v>2018</v>
      </c>
      <c r="D143" s="27">
        <v>126522545756</v>
      </c>
      <c r="E143" s="7">
        <f>D142</f>
        <v>122379673005</v>
      </c>
      <c r="F143" s="7">
        <f>G142</f>
        <v>7067925334277.5</v>
      </c>
      <c r="G143" s="7">
        <v>7155975401435.5</v>
      </c>
      <c r="H143" s="9">
        <f t="shared" si="54"/>
        <v>3.6589057490232432E-4</v>
      </c>
    </row>
    <row r="144" spans="1:8" ht="15.5" x14ac:dyDescent="0.35">
      <c r="A144" s="1">
        <v>143</v>
      </c>
      <c r="B144" s="2"/>
      <c r="C144" s="25">
        <v>2019</v>
      </c>
      <c r="D144" s="27">
        <v>70829124380</v>
      </c>
      <c r="E144" s="7">
        <f t="shared" ref="E144:E146" si="59">D143</f>
        <v>126522545756</v>
      </c>
      <c r="F144" s="7">
        <f t="shared" ref="F144:F146" si="60">G143</f>
        <v>7155975401435.5</v>
      </c>
      <c r="G144" s="7">
        <v>7452463591318</v>
      </c>
      <c r="H144" s="9">
        <f t="shared" si="54"/>
        <v>-8.1765626724354442E-3</v>
      </c>
    </row>
    <row r="145" spans="1:8" ht="15.5" x14ac:dyDescent="0.35">
      <c r="A145" s="1">
        <v>144</v>
      </c>
      <c r="B145" s="2"/>
      <c r="C145" s="25">
        <v>2020</v>
      </c>
      <c r="D145" s="27">
        <v>53471358172</v>
      </c>
      <c r="E145" s="7">
        <f t="shared" si="59"/>
        <v>70829124380</v>
      </c>
      <c r="F145" s="7">
        <f t="shared" si="60"/>
        <v>7452463591318</v>
      </c>
      <c r="G145" s="7">
        <v>7622589020615</v>
      </c>
      <c r="H145" s="9">
        <f t="shared" si="54"/>
        <v>-2.4892669694759869E-3</v>
      </c>
    </row>
    <row r="146" spans="1:8" ht="15.5" x14ac:dyDescent="0.35">
      <c r="A146" s="1">
        <v>145</v>
      </c>
      <c r="B146" s="2"/>
      <c r="C146" s="25">
        <v>2021</v>
      </c>
      <c r="D146" s="27">
        <v>59072747958</v>
      </c>
      <c r="E146" s="7">
        <f t="shared" si="59"/>
        <v>53471358172</v>
      </c>
      <c r="F146" s="7">
        <f t="shared" si="60"/>
        <v>7622589020615</v>
      </c>
      <c r="G146" s="7">
        <v>8152025077227</v>
      </c>
      <c r="H146" s="9">
        <f t="shared" si="54"/>
        <v>2.3153418902259991E-4</v>
      </c>
    </row>
    <row r="147" spans="1:8" ht="15.5" x14ac:dyDescent="0.35">
      <c r="A147" s="1">
        <v>146</v>
      </c>
      <c r="B147" s="2" t="s">
        <v>87</v>
      </c>
      <c r="C147" s="25">
        <v>2017</v>
      </c>
      <c r="D147" s="27">
        <v>193632796000</v>
      </c>
      <c r="E147" s="7"/>
      <c r="F147" s="7"/>
      <c r="G147" s="7">
        <v>13850277046500</v>
      </c>
      <c r="H147" s="9" t="e">
        <f t="shared" si="54"/>
        <v>#DIV/0!</v>
      </c>
    </row>
    <row r="148" spans="1:8" ht="15.5" x14ac:dyDescent="0.35">
      <c r="A148" s="1">
        <v>147</v>
      </c>
      <c r="B148" s="2"/>
      <c r="C148" s="25">
        <v>2018</v>
      </c>
      <c r="D148" s="27">
        <v>292509384000</v>
      </c>
      <c r="E148" s="7">
        <f>D147</f>
        <v>193632796000</v>
      </c>
      <c r="F148" s="7">
        <f>G147</f>
        <v>13850277046500</v>
      </c>
      <c r="G148" s="7">
        <v>19818132312000</v>
      </c>
      <c r="H148" s="9">
        <f t="shared" si="54"/>
        <v>7.7925704954879237E-4</v>
      </c>
    </row>
    <row r="149" spans="1:8" ht="15.5" x14ac:dyDescent="0.35">
      <c r="A149" s="1">
        <v>148</v>
      </c>
      <c r="B149" s="2"/>
      <c r="C149" s="25">
        <v>2019</v>
      </c>
      <c r="D149" s="27">
        <v>74197988000</v>
      </c>
      <c r="E149" s="7">
        <f t="shared" ref="E149:E151" si="61">D148</f>
        <v>292509384000</v>
      </c>
      <c r="F149" s="7">
        <f t="shared" ref="F149:F151" si="62">G148</f>
        <v>19818132312000</v>
      </c>
      <c r="G149" s="7">
        <v>25190797082000</v>
      </c>
      <c r="H149" s="9">
        <f t="shared" si="54"/>
        <v>-1.1814244422777693E-2</v>
      </c>
    </row>
    <row r="150" spans="1:8" ht="15.5" x14ac:dyDescent="0.35">
      <c r="A150" s="1">
        <v>149</v>
      </c>
      <c r="B150" s="2"/>
      <c r="C150" s="25">
        <v>2020</v>
      </c>
      <c r="D150" s="27">
        <v>64071757000</v>
      </c>
      <c r="E150" s="7">
        <f t="shared" si="61"/>
        <v>74197988000</v>
      </c>
      <c r="F150" s="7">
        <f t="shared" si="62"/>
        <v>25190797082000</v>
      </c>
      <c r="G150" s="7">
        <v>27541707587000</v>
      </c>
      <c r="H150" s="9">
        <f t="shared" si="54"/>
        <v>-6.1908643114883064E-4</v>
      </c>
    </row>
    <row r="151" spans="1:8" ht="15.5" x14ac:dyDescent="0.35">
      <c r="A151" s="1">
        <v>150</v>
      </c>
      <c r="B151" s="2"/>
      <c r="C151" s="25">
        <v>2021</v>
      </c>
      <c r="D151" s="27">
        <v>-3303131348000</v>
      </c>
      <c r="E151" s="7">
        <f t="shared" si="61"/>
        <v>64071757000</v>
      </c>
      <c r="F151" s="7">
        <f t="shared" si="62"/>
        <v>27541707587000</v>
      </c>
      <c r="G151" s="7">
        <v>22441007458500</v>
      </c>
      <c r="H151" s="9">
        <f t="shared" si="54"/>
        <v>-0.14951811222880146</v>
      </c>
    </row>
    <row r="152" spans="1:8" ht="15.5" x14ac:dyDescent="0.35">
      <c r="A152" s="1">
        <v>151</v>
      </c>
      <c r="B152" s="2" t="s">
        <v>88</v>
      </c>
      <c r="C152" s="25">
        <v>2017</v>
      </c>
      <c r="D152" s="27">
        <v>407459000000</v>
      </c>
      <c r="E152" s="7"/>
      <c r="F152" s="7"/>
      <c r="G152" s="7">
        <v>30798352000000</v>
      </c>
      <c r="H152" s="9" t="e">
        <f t="shared" si="54"/>
        <v>#DIV/0!</v>
      </c>
    </row>
    <row r="153" spans="1:8" ht="15.5" x14ac:dyDescent="0.35">
      <c r="A153" s="1">
        <v>152</v>
      </c>
      <c r="B153" s="2"/>
      <c r="C153" s="25">
        <v>2018</v>
      </c>
      <c r="D153" s="27">
        <v>75863000000</v>
      </c>
      <c r="E153" s="7">
        <f>D152</f>
        <v>407459000000</v>
      </c>
      <c r="F153" s="7">
        <f>G152</f>
        <v>30798352000000</v>
      </c>
      <c r="G153" s="7">
        <v>30576410000000</v>
      </c>
      <c r="H153" s="9">
        <f t="shared" si="54"/>
        <v>-1.0748800476518853E-2</v>
      </c>
    </row>
    <row r="154" spans="1:8" ht="15.5" x14ac:dyDescent="0.35">
      <c r="A154" s="1">
        <v>153</v>
      </c>
      <c r="B154" s="2"/>
      <c r="C154" s="25">
        <v>2019</v>
      </c>
      <c r="D154" s="27">
        <v>81893000000</v>
      </c>
      <c r="E154" s="7">
        <f t="shared" ref="E154:E156" si="63">D153</f>
        <v>75863000000</v>
      </c>
      <c r="F154" s="7">
        <f t="shared" ref="F154:F156" si="64">G153</f>
        <v>30576410000000</v>
      </c>
      <c r="G154" s="7">
        <v>33654149000000</v>
      </c>
      <c r="H154" s="9">
        <f t="shared" si="54"/>
        <v>-4.7725618074344941E-5</v>
      </c>
    </row>
    <row r="155" spans="1:8" ht="15.5" x14ac:dyDescent="0.35">
      <c r="A155" s="1">
        <v>154</v>
      </c>
      <c r="B155" s="2"/>
      <c r="C155" s="25">
        <v>2020</v>
      </c>
      <c r="D155" s="27">
        <v>116600000000</v>
      </c>
      <c r="E155" s="7">
        <f t="shared" si="63"/>
        <v>81893000000</v>
      </c>
      <c r="F155" s="7">
        <f t="shared" si="64"/>
        <v>33654149000000</v>
      </c>
      <c r="G155" s="7">
        <v>40585800500000</v>
      </c>
      <c r="H155" s="9">
        <f t="shared" si="54"/>
        <v>4.3955586090501774E-4</v>
      </c>
    </row>
    <row r="156" spans="1:8" ht="15.5" x14ac:dyDescent="0.35">
      <c r="A156" s="1">
        <v>155</v>
      </c>
      <c r="B156" s="2"/>
      <c r="C156" s="25">
        <v>2021</v>
      </c>
      <c r="D156" s="27">
        <v>159518000000</v>
      </c>
      <c r="E156" s="7">
        <f t="shared" si="63"/>
        <v>116600000000</v>
      </c>
      <c r="F156" s="7">
        <f t="shared" si="64"/>
        <v>40585800500000</v>
      </c>
      <c r="G156" s="7">
        <v>48439621550000</v>
      </c>
      <c r="H156" s="9">
        <f t="shared" si="54"/>
        <v>4.2020463708412805E-4</v>
      </c>
    </row>
    <row r="157" spans="1:8" ht="15.5" x14ac:dyDescent="0.35">
      <c r="A157" s="1">
        <v>156</v>
      </c>
      <c r="B157" s="2" t="s">
        <v>89</v>
      </c>
      <c r="C157" s="25">
        <v>2017</v>
      </c>
      <c r="D157" s="27">
        <v>86926000000</v>
      </c>
      <c r="E157" s="7"/>
      <c r="F157" s="7"/>
      <c r="G157" s="7">
        <v>26973473000000</v>
      </c>
      <c r="H157" s="9" t="e">
        <f t="shared" si="54"/>
        <v>#DIV/0!</v>
      </c>
    </row>
    <row r="158" spans="1:8" ht="15.5" x14ac:dyDescent="0.35">
      <c r="A158" s="1">
        <v>157</v>
      </c>
      <c r="B158" s="2"/>
      <c r="C158" s="25">
        <v>2018</v>
      </c>
      <c r="D158" s="27">
        <v>74336000000</v>
      </c>
      <c r="E158" s="7">
        <f>D157</f>
        <v>86926000000</v>
      </c>
      <c r="F158" s="7">
        <f>G157</f>
        <v>26973473000000</v>
      </c>
      <c r="G158" s="7">
        <v>26876098000000</v>
      </c>
      <c r="H158" s="9">
        <f t="shared" si="54"/>
        <v>-4.56769977651809E-4</v>
      </c>
    </row>
    <row r="159" spans="1:8" ht="15.5" x14ac:dyDescent="0.35">
      <c r="A159" s="1">
        <v>158</v>
      </c>
      <c r="B159" s="2"/>
      <c r="C159" s="25">
        <v>2019</v>
      </c>
      <c r="D159" s="27">
        <v>-76339000000</v>
      </c>
      <c r="E159" s="7">
        <f t="shared" ref="E159:E161" si="65">D158</f>
        <v>74336000000</v>
      </c>
      <c r="F159" s="7">
        <f t="shared" ref="F159:F161" si="66">G158</f>
        <v>26876098000000</v>
      </c>
      <c r="G159" s="7">
        <v>25778614500000</v>
      </c>
      <c r="H159" s="9">
        <f t="shared" si="54"/>
        <v>-5.7272082976446165E-3</v>
      </c>
    </row>
    <row r="160" spans="1:8" ht="15.5" x14ac:dyDescent="0.35">
      <c r="A160" s="1">
        <v>159</v>
      </c>
      <c r="B160" s="2"/>
      <c r="C160" s="25">
        <v>2020</v>
      </c>
      <c r="D160" s="27">
        <v>30422000000</v>
      </c>
      <c r="E160" s="7">
        <f t="shared" si="65"/>
        <v>-76339000000</v>
      </c>
      <c r="F160" s="7">
        <f t="shared" si="66"/>
        <v>25778614500000</v>
      </c>
      <c r="G160" s="7">
        <v>28029503000000</v>
      </c>
      <c r="H160" s="9">
        <f t="shared" si="54"/>
        <v>4.0466869853913639E-3</v>
      </c>
    </row>
    <row r="161" spans="1:8" ht="15.5" x14ac:dyDescent="0.35">
      <c r="A161" s="1">
        <v>160</v>
      </c>
      <c r="B161" s="2"/>
      <c r="C161" s="25">
        <v>2021</v>
      </c>
      <c r="D161" s="27">
        <v>-203460000000</v>
      </c>
      <c r="E161" s="7">
        <f t="shared" si="65"/>
        <v>30422000000</v>
      </c>
      <c r="F161" s="7">
        <f t="shared" si="66"/>
        <v>28029503000000</v>
      </c>
      <c r="G161" s="7">
        <v>28327392500000</v>
      </c>
      <c r="H161" s="9">
        <f t="shared" si="54"/>
        <v>-8.2678035498792955E-3</v>
      </c>
    </row>
    <row r="162" spans="1:8" ht="15.5" x14ac:dyDescent="0.35">
      <c r="A162" s="1">
        <v>166</v>
      </c>
      <c r="B162" s="2" t="s">
        <v>90</v>
      </c>
      <c r="C162" s="25">
        <v>2017</v>
      </c>
      <c r="D162" s="27">
        <v>1649159000000</v>
      </c>
      <c r="E162" s="7"/>
      <c r="F162" s="7"/>
      <c r="G162" s="7">
        <v>76414346000000</v>
      </c>
      <c r="H162" s="9" t="e">
        <f t="shared" si="54"/>
        <v>#DIV/0!</v>
      </c>
    </row>
    <row r="163" spans="1:8" ht="15.5" x14ac:dyDescent="0.35">
      <c r="A163" s="1">
        <v>167</v>
      </c>
      <c r="B163" s="2"/>
      <c r="C163" s="25">
        <v>2018</v>
      </c>
      <c r="D163" s="27">
        <v>2002021000000</v>
      </c>
      <c r="E163" s="7">
        <f>D162</f>
        <v>1649159000000</v>
      </c>
      <c r="F163" s="7">
        <f>G162</f>
        <v>76414346000000</v>
      </c>
      <c r="G163" s="7">
        <v>83029478000000</v>
      </c>
      <c r="H163" s="9">
        <f t="shared" si="54"/>
        <v>2.5303730763315997E-3</v>
      </c>
    </row>
    <row r="164" spans="1:8" ht="15.5" x14ac:dyDescent="0.35">
      <c r="A164" s="1">
        <v>168</v>
      </c>
      <c r="B164" s="2"/>
      <c r="C164" s="25">
        <v>2019</v>
      </c>
      <c r="D164" s="27">
        <v>2508411000000</v>
      </c>
      <c r="E164" s="7">
        <f t="shared" ref="E164:E166" si="67">D163</f>
        <v>2002021000000</v>
      </c>
      <c r="F164" s="7">
        <f t="shared" ref="F164:F166" si="68">G163</f>
        <v>83029478000000</v>
      </c>
      <c r="G164" s="7">
        <v>92282888500000</v>
      </c>
      <c r="H164" s="9">
        <f t="shared" si="54"/>
        <v>3.0695851108205087E-3</v>
      </c>
    </row>
    <row r="165" spans="1:8" ht="15.5" x14ac:dyDescent="0.35">
      <c r="A165" s="1">
        <v>169</v>
      </c>
      <c r="B165" s="2"/>
      <c r="C165" s="25">
        <v>2020</v>
      </c>
      <c r="D165" s="27">
        <v>3715053000000</v>
      </c>
      <c r="E165" s="7">
        <f t="shared" si="67"/>
        <v>2508411000000</v>
      </c>
      <c r="F165" s="7">
        <f t="shared" si="68"/>
        <v>92282888500000</v>
      </c>
      <c r="G165" s="7">
        <v>106503242000000</v>
      </c>
      <c r="H165" s="9">
        <f t="shared" si="54"/>
        <v>7.700308451505454E-3</v>
      </c>
    </row>
    <row r="166" spans="1:8" ht="15.5" x14ac:dyDescent="0.35">
      <c r="A166" s="1">
        <v>170</v>
      </c>
      <c r="B166" s="2"/>
      <c r="C166" s="25">
        <v>2021</v>
      </c>
      <c r="D166" s="27">
        <v>4952616000000</v>
      </c>
      <c r="E166" s="7">
        <f t="shared" si="67"/>
        <v>3715053000000</v>
      </c>
      <c r="F166" s="7">
        <f t="shared" si="68"/>
        <v>106503242000000</v>
      </c>
      <c r="G166" s="7">
        <v>122541021500000</v>
      </c>
      <c r="H166" s="9">
        <f t="shared" si="54"/>
        <v>5.533919386778427E-3</v>
      </c>
    </row>
    <row r="167" spans="1:8" ht="15.5" x14ac:dyDescent="0.35">
      <c r="A167" s="1">
        <v>171</v>
      </c>
      <c r="B167" s="2" t="s">
        <v>91</v>
      </c>
      <c r="C167" s="25">
        <v>2017</v>
      </c>
      <c r="D167" s="27">
        <v>25688971000</v>
      </c>
      <c r="E167" s="7"/>
      <c r="F167" s="7"/>
      <c r="G167" s="7">
        <v>2302286580000</v>
      </c>
      <c r="H167" s="9" t="e">
        <f t="shared" si="54"/>
        <v>#DIV/0!</v>
      </c>
    </row>
    <row r="168" spans="1:8" ht="15.5" x14ac:dyDescent="0.35">
      <c r="A168" s="1">
        <v>172</v>
      </c>
      <c r="B168" s="2"/>
      <c r="C168" s="25">
        <v>2018</v>
      </c>
      <c r="D168" s="27">
        <v>33006263000</v>
      </c>
      <c r="E168" s="7">
        <f>D167</f>
        <v>25688971000</v>
      </c>
      <c r="F168" s="7">
        <f>G167</f>
        <v>2302286580000</v>
      </c>
      <c r="G168" s="7">
        <v>2751476020000</v>
      </c>
      <c r="H168" s="9">
        <f t="shared" si="54"/>
        <v>8.378139675895898E-4</v>
      </c>
    </row>
    <row r="169" spans="1:8" ht="15.5" x14ac:dyDescent="0.35">
      <c r="A169" s="1">
        <v>173</v>
      </c>
      <c r="B169" s="2"/>
      <c r="C169" s="25">
        <v>2019</v>
      </c>
      <c r="D169" s="27">
        <v>97199578000</v>
      </c>
      <c r="E169" s="7">
        <f t="shared" ref="E169:E171" si="69">D168</f>
        <v>33006263000</v>
      </c>
      <c r="F169" s="7">
        <f t="shared" ref="F169:F171" si="70">G168</f>
        <v>2751476020000</v>
      </c>
      <c r="G169" s="7">
        <v>2759583114000</v>
      </c>
      <c r="H169" s="9">
        <f t="shared" si="54"/>
        <v>2.3226719746714728E-2</v>
      </c>
    </row>
    <row r="170" spans="1:8" ht="15.5" x14ac:dyDescent="0.35">
      <c r="A170" s="1">
        <v>174</v>
      </c>
      <c r="B170" s="2"/>
      <c r="C170" s="25">
        <v>2020</v>
      </c>
      <c r="D170" s="27">
        <v>62694169000</v>
      </c>
      <c r="E170" s="7">
        <f t="shared" si="69"/>
        <v>97199578000</v>
      </c>
      <c r="F170" s="7">
        <f t="shared" si="70"/>
        <v>2759583114000</v>
      </c>
      <c r="G170" s="7">
        <v>2863472596500</v>
      </c>
      <c r="H170" s="9">
        <f t="shared" si="54"/>
        <v>-1.3328104635616247E-2</v>
      </c>
    </row>
    <row r="171" spans="1:8" ht="15.5" x14ac:dyDescent="0.35">
      <c r="A171" s="1">
        <v>175</v>
      </c>
      <c r="B171" s="2"/>
      <c r="C171" s="25">
        <v>2021</v>
      </c>
      <c r="D171" s="27">
        <v>74796567000</v>
      </c>
      <c r="E171" s="7">
        <f t="shared" si="69"/>
        <v>62694169000</v>
      </c>
      <c r="F171" s="7">
        <f t="shared" si="70"/>
        <v>2863472596500</v>
      </c>
      <c r="G171" s="7">
        <v>2248115216500</v>
      </c>
      <c r="H171" s="9">
        <f t="shared" si="54"/>
        <v>1.1376335008425977E-2</v>
      </c>
    </row>
    <row r="172" spans="1:8" ht="15.5" x14ac:dyDescent="0.35">
      <c r="A172" s="1">
        <v>176</v>
      </c>
      <c r="B172" s="2" t="s">
        <v>92</v>
      </c>
      <c r="C172" s="25">
        <v>2017</v>
      </c>
      <c r="D172" s="27">
        <v>2877654000000</v>
      </c>
      <c r="E172" s="7"/>
      <c r="F172" s="7"/>
      <c r="G172" s="7">
        <v>145985149000000</v>
      </c>
      <c r="H172" s="9" t="e">
        <f t="shared" si="54"/>
        <v>#DIV/0!</v>
      </c>
    </row>
    <row r="173" spans="1:8" x14ac:dyDescent="0.35">
      <c r="A173" s="1">
        <v>177</v>
      </c>
      <c r="B173" s="9"/>
      <c r="C173" s="25">
        <v>2018</v>
      </c>
      <c r="D173" s="27">
        <v>3486447000000</v>
      </c>
      <c r="E173" s="7">
        <f>D172</f>
        <v>2877654000000</v>
      </c>
      <c r="F173" s="7">
        <f>G172</f>
        <v>145985149000000</v>
      </c>
      <c r="G173" s="7">
        <v>163678425500000</v>
      </c>
      <c r="H173" s="9">
        <f t="shared" si="54"/>
        <v>1.5886258069278403E-3</v>
      </c>
    </row>
    <row r="174" spans="1:8" x14ac:dyDescent="0.35">
      <c r="A174" s="1">
        <v>178</v>
      </c>
      <c r="B174" s="9"/>
      <c r="C174" s="25">
        <v>2019</v>
      </c>
      <c r="D174" s="27">
        <v>3891439000000</v>
      </c>
      <c r="E174" s="7">
        <f t="shared" ref="E174:E176" si="71">D173</f>
        <v>3486447000000</v>
      </c>
      <c r="F174" s="7">
        <f t="shared" ref="F174:F176" si="72">G173</f>
        <v>163678425500000</v>
      </c>
      <c r="G174" s="7">
        <v>177144940500000</v>
      </c>
      <c r="H174" s="9">
        <f t="shared" si="54"/>
        <v>6.6695265285231578E-4</v>
      </c>
    </row>
    <row r="175" spans="1:8" x14ac:dyDescent="0.35">
      <c r="A175" s="1">
        <v>179</v>
      </c>
      <c r="B175" s="9"/>
      <c r="C175" s="25">
        <v>2020</v>
      </c>
      <c r="D175" s="27">
        <v>2784855000000</v>
      </c>
      <c r="E175" s="7">
        <f t="shared" si="71"/>
        <v>3891439000000</v>
      </c>
      <c r="F175" s="7">
        <f t="shared" si="72"/>
        <v>177144940500000</v>
      </c>
      <c r="G175" s="7">
        <v>193502093500000</v>
      </c>
      <c r="H175" s="9">
        <f t="shared" si="54"/>
        <v>-7.5756826520680994E-3</v>
      </c>
    </row>
    <row r="176" spans="1:8" x14ac:dyDescent="0.35">
      <c r="A176" s="1">
        <v>180</v>
      </c>
      <c r="B176" s="9"/>
      <c r="C176" s="25">
        <v>2021</v>
      </c>
      <c r="D176" s="27">
        <v>3203417000000</v>
      </c>
      <c r="E176" s="7">
        <f t="shared" si="71"/>
        <v>2784855000000</v>
      </c>
      <c r="F176" s="7">
        <f t="shared" si="72"/>
        <v>193502093500000</v>
      </c>
      <c r="G176" s="7">
        <v>210346404000000</v>
      </c>
      <c r="H176" s="9">
        <f t="shared" si="54"/>
        <v>8.3738557714375592E-4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0EC71-CC61-42BA-AC27-186574E657CD}">
  <dimension ref="A1:G176"/>
  <sheetViews>
    <sheetView zoomScale="75" zoomScaleNormal="70" workbookViewId="0">
      <selection activeCell="G3" sqref="G3"/>
    </sheetView>
  </sheetViews>
  <sheetFormatPr defaultRowHeight="14.5" x14ac:dyDescent="0.35"/>
  <cols>
    <col min="2" max="2" width="11.26953125" bestFit="1" customWidth="1"/>
    <col min="4" max="4" width="14.36328125" bestFit="1" customWidth="1"/>
    <col min="5" max="5" width="14.26953125" bestFit="1" customWidth="1"/>
    <col min="6" max="6" width="12.08984375" bestFit="1" customWidth="1"/>
    <col min="7" max="7" width="19.4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59</v>
      </c>
      <c r="E1" s="1" t="s">
        <v>60</v>
      </c>
      <c r="F1" s="1" t="s">
        <v>38</v>
      </c>
      <c r="G1" s="1" t="s">
        <v>39</v>
      </c>
    </row>
    <row r="2" spans="1:7" x14ac:dyDescent="0.35">
      <c r="A2" s="1">
        <v>1</v>
      </c>
      <c r="B2" s="1" t="s">
        <v>3</v>
      </c>
      <c r="C2" s="1">
        <v>2017</v>
      </c>
      <c r="D2" s="9" t="e">
        <f>'ch receivable'!G2</f>
        <v>#DIV/0!</v>
      </c>
      <c r="E2" s="9">
        <f>'ch in cash sales'!J2</f>
        <v>0</v>
      </c>
      <c r="F2" s="30" t="e">
        <f>'Ch In earning'!H2</f>
        <v>#DIV/0!</v>
      </c>
      <c r="G2" s="9" t="e">
        <f>D2+E2+F2</f>
        <v>#DIV/0!</v>
      </c>
    </row>
    <row r="3" spans="1:7" ht="15.5" x14ac:dyDescent="0.35">
      <c r="A3" s="1">
        <v>2</v>
      </c>
      <c r="B3" s="2" t="s">
        <v>3</v>
      </c>
      <c r="C3" s="1">
        <v>2018</v>
      </c>
      <c r="D3" s="9">
        <f>'ch receivable'!G3</f>
        <v>8.6584139728320911E-3</v>
      </c>
      <c r="E3" s="9">
        <f>'ch in cash sales'!J3</f>
        <v>-0.1047737912907353</v>
      </c>
      <c r="F3" s="30">
        <f>'Ch In earning'!H3</f>
        <v>-5.9763629625295078E-2</v>
      </c>
      <c r="G3" s="9">
        <f t="shared" ref="G3:G66" si="0">D3+E3+F3</f>
        <v>-0.15587900694319828</v>
      </c>
    </row>
    <row r="4" spans="1:7" ht="15.5" x14ac:dyDescent="0.35">
      <c r="A4" s="1">
        <v>3</v>
      </c>
      <c r="B4" s="2" t="s">
        <v>3</v>
      </c>
      <c r="C4" s="1">
        <v>2019</v>
      </c>
      <c r="D4" s="9">
        <f>'ch receivable'!G4</f>
        <v>-1.7193492279881189E-2</v>
      </c>
      <c r="E4" s="9">
        <f>'ch in cash sales'!J4</f>
        <v>1.0790615175273521E-2</v>
      </c>
      <c r="F4" s="30">
        <f>'Ch In earning'!H4</f>
        <v>-1.5610282697230735E-2</v>
      </c>
      <c r="G4" s="9">
        <f t="shared" si="0"/>
        <v>-2.2013159801838402E-2</v>
      </c>
    </row>
    <row r="5" spans="1:7" ht="15.5" x14ac:dyDescent="0.35">
      <c r="A5" s="1">
        <v>4</v>
      </c>
      <c r="B5" s="2" t="s">
        <v>3</v>
      </c>
      <c r="C5" s="1">
        <v>2020</v>
      </c>
      <c r="D5" s="9">
        <f>'ch receivable'!G5</f>
        <v>1.2917323512233651E-2</v>
      </c>
      <c r="E5" s="9">
        <f>'ch in cash sales'!J5</f>
        <v>-0.47619243757763374</v>
      </c>
      <c r="F5" s="30">
        <f>'Ch In earning'!H5</f>
        <v>-5.7821261036370879E-3</v>
      </c>
      <c r="G5" s="9">
        <f t="shared" si="0"/>
        <v>-0.46905724016903722</v>
      </c>
    </row>
    <row r="6" spans="1:7" ht="15.5" x14ac:dyDescent="0.35">
      <c r="A6" s="1">
        <v>5</v>
      </c>
      <c r="B6" s="2" t="s">
        <v>3</v>
      </c>
      <c r="C6" s="1">
        <v>2021</v>
      </c>
      <c r="D6" s="9">
        <f>'ch receivable'!G6</f>
        <v>5.8677031586523959E-2</v>
      </c>
      <c r="E6" s="9">
        <f>'ch in cash sales'!J6</f>
        <v>-0.12467227141946266</v>
      </c>
      <c r="F6" s="30">
        <f>'Ch In earning'!H6</f>
        <v>1.1869742717308994E-3</v>
      </c>
      <c r="G6" s="9">
        <f t="shared" si="0"/>
        <v>-6.4808265561207806E-2</v>
      </c>
    </row>
    <row r="7" spans="1:7" ht="15.5" x14ac:dyDescent="0.35">
      <c r="A7" s="1">
        <v>6</v>
      </c>
      <c r="B7" s="2" t="s">
        <v>4</v>
      </c>
      <c r="C7" s="1">
        <v>2017</v>
      </c>
      <c r="D7" s="9" t="e">
        <f>'ch receivable'!G7</f>
        <v>#DIV/0!</v>
      </c>
      <c r="E7" s="9">
        <f>'ch in cash sales'!J7</f>
        <v>0</v>
      </c>
      <c r="F7" s="30" t="e">
        <f>'Ch In earning'!H7</f>
        <v>#DIV/0!</v>
      </c>
      <c r="G7" s="9" t="e">
        <f t="shared" si="0"/>
        <v>#DIV/0!</v>
      </c>
    </row>
    <row r="8" spans="1:7" x14ac:dyDescent="0.35">
      <c r="A8" s="1">
        <v>7</v>
      </c>
      <c r="B8" s="1" t="s">
        <v>4</v>
      </c>
      <c r="C8" s="1">
        <v>2018</v>
      </c>
      <c r="D8" s="9">
        <f>'ch receivable'!G8</f>
        <v>4.4723841159316886E-2</v>
      </c>
      <c r="E8" s="9">
        <f>'ch in cash sales'!J8</f>
        <v>-0.10338084257997403</v>
      </c>
      <c r="F8" s="30">
        <f>'Ch In earning'!H8</f>
        <v>-1.2146129157039623E-2</v>
      </c>
      <c r="G8" s="9">
        <f t="shared" si="0"/>
        <v>-7.0803130577696771E-2</v>
      </c>
    </row>
    <row r="9" spans="1:7" x14ac:dyDescent="0.35">
      <c r="A9" s="1">
        <v>8</v>
      </c>
      <c r="B9" s="1" t="s">
        <v>4</v>
      </c>
      <c r="C9" s="1">
        <v>2019</v>
      </c>
      <c r="D9" s="9">
        <f>'ch receivable'!G9</f>
        <v>-4.8834761555901314E-3</v>
      </c>
      <c r="E9" s="9">
        <f>'ch in cash sales'!J9</f>
        <v>0.11139191638063739</v>
      </c>
      <c r="F9" s="30">
        <f>'Ch In earning'!H9</f>
        <v>-5.969298070477199E-2</v>
      </c>
      <c r="G9" s="9">
        <f t="shared" si="0"/>
        <v>4.6815459520275264E-2</v>
      </c>
    </row>
    <row r="10" spans="1:7" x14ac:dyDescent="0.35">
      <c r="A10" s="1">
        <v>9</v>
      </c>
      <c r="B10" s="1" t="s">
        <v>4</v>
      </c>
      <c r="C10" s="1">
        <v>2020</v>
      </c>
      <c r="D10" s="9">
        <f>'ch receivable'!G10</f>
        <v>8.8460706810887607E-2</v>
      </c>
      <c r="E10" s="9">
        <f>'ch in cash sales'!J10</f>
        <v>-0.47814394100105029</v>
      </c>
      <c r="F10" s="30">
        <f>'Ch In earning'!H10</f>
        <v>-9.9315878560023205E-2</v>
      </c>
      <c r="G10" s="9">
        <f t="shared" si="0"/>
        <v>-0.48899911275018593</v>
      </c>
    </row>
    <row r="11" spans="1:7" x14ac:dyDescent="0.35">
      <c r="A11" s="1">
        <v>10</v>
      </c>
      <c r="B11" s="1" t="s">
        <v>4</v>
      </c>
      <c r="C11" s="1">
        <v>2021</v>
      </c>
      <c r="D11" s="9">
        <f>'ch receivable'!G11</f>
        <v>-6.0512598811437765E-2</v>
      </c>
      <c r="E11" s="9">
        <f>'ch in cash sales'!J11</f>
        <v>1.6495226625969126</v>
      </c>
      <c r="F11" s="30">
        <f>'Ch In earning'!H11</f>
        <v>0.10802062044898258</v>
      </c>
      <c r="G11" s="9">
        <f t="shared" si="0"/>
        <v>1.6970306842344576</v>
      </c>
    </row>
    <row r="12" spans="1:7" x14ac:dyDescent="0.35">
      <c r="A12" s="1">
        <v>11</v>
      </c>
      <c r="B12" s="1" t="s">
        <v>5</v>
      </c>
      <c r="C12" s="1">
        <v>2017</v>
      </c>
      <c r="D12" s="9" t="e">
        <f>'ch receivable'!G12</f>
        <v>#DIV/0!</v>
      </c>
      <c r="E12" s="9">
        <f>'ch in cash sales'!J12</f>
        <v>0</v>
      </c>
      <c r="F12" s="30" t="e">
        <f>'Ch In earning'!H12</f>
        <v>#DIV/0!</v>
      </c>
      <c r="G12" s="9" t="e">
        <f t="shared" si="0"/>
        <v>#DIV/0!</v>
      </c>
    </row>
    <row r="13" spans="1:7" x14ac:dyDescent="0.35">
      <c r="A13" s="1">
        <v>12</v>
      </c>
      <c r="B13" s="1" t="s">
        <v>5</v>
      </c>
      <c r="C13" s="1">
        <v>2018</v>
      </c>
      <c r="D13" s="9">
        <f>'ch receivable'!G13</f>
        <v>9.5462149026153104E-2</v>
      </c>
      <c r="E13" s="9">
        <f>'ch in cash sales'!J13</f>
        <v>-4.0578506110111393E-2</v>
      </c>
      <c r="F13" s="30">
        <f>'Ch In earning'!H13</f>
        <v>-5.0430101313351204E-3</v>
      </c>
      <c r="G13" s="9">
        <f t="shared" si="0"/>
        <v>4.9840632784706587E-2</v>
      </c>
    </row>
    <row r="14" spans="1:7" x14ac:dyDescent="0.35">
      <c r="A14" s="1">
        <v>13</v>
      </c>
      <c r="B14" s="1" t="s">
        <v>5</v>
      </c>
      <c r="C14" s="1">
        <v>2019</v>
      </c>
      <c r="D14" s="9">
        <f>'ch receivable'!G14</f>
        <v>5.058621231078627E-2</v>
      </c>
      <c r="E14" s="9">
        <f>'ch in cash sales'!J14</f>
        <v>-4.5559440938246348E-3</v>
      </c>
      <c r="F14" s="30">
        <f>'Ch In earning'!H14</f>
        <v>3.469490696470675E-3</v>
      </c>
      <c r="G14" s="9">
        <f t="shared" si="0"/>
        <v>4.9499758913432307E-2</v>
      </c>
    </row>
    <row r="15" spans="1:7" x14ac:dyDescent="0.35">
      <c r="A15" s="1">
        <v>14</v>
      </c>
      <c r="B15" s="1" t="s">
        <v>5</v>
      </c>
      <c r="C15" s="1">
        <v>2020</v>
      </c>
      <c r="D15" s="9">
        <f>'ch receivable'!G15</f>
        <v>5.2408339959262203E-3</v>
      </c>
      <c r="E15" s="9">
        <f>'ch in cash sales'!J15</f>
        <v>-2.9529184566805207E-2</v>
      </c>
      <c r="F15" s="30">
        <f>'Ch In earning'!H15</f>
        <v>-1.7399587267246951E-2</v>
      </c>
      <c r="G15" s="9">
        <f t="shared" si="0"/>
        <v>-4.1687937838125938E-2</v>
      </c>
    </row>
    <row r="16" spans="1:7" x14ac:dyDescent="0.35">
      <c r="A16" s="1">
        <v>15</v>
      </c>
      <c r="B16" s="1" t="s">
        <v>5</v>
      </c>
      <c r="C16" s="1">
        <v>2021</v>
      </c>
      <c r="D16" s="9">
        <f>'ch receivable'!G16</f>
        <v>-1.2111321714264742E-2</v>
      </c>
      <c r="E16" s="9">
        <f>'ch in cash sales'!J16</f>
        <v>-1.868957778397403E-3</v>
      </c>
      <c r="F16" s="30">
        <f>'Ch In earning'!H16</f>
        <v>7.8030401275145638E-3</v>
      </c>
      <c r="G16" s="9">
        <f t="shared" si="0"/>
        <v>-6.1772393651475816E-3</v>
      </c>
    </row>
    <row r="17" spans="1:7" x14ac:dyDescent="0.35">
      <c r="A17" s="1">
        <v>16</v>
      </c>
      <c r="B17" s="1" t="s">
        <v>6</v>
      </c>
      <c r="C17" s="1">
        <v>2017</v>
      </c>
      <c r="D17" s="9" t="e">
        <f>'ch receivable'!G17</f>
        <v>#DIV/0!</v>
      </c>
      <c r="E17" s="9">
        <f>'ch in cash sales'!J17</f>
        <v>0</v>
      </c>
      <c r="F17" s="30" t="e">
        <f>'Ch In earning'!H17</f>
        <v>#DIV/0!</v>
      </c>
      <c r="G17" s="9" t="e">
        <f t="shared" si="0"/>
        <v>#DIV/0!</v>
      </c>
    </row>
    <row r="18" spans="1:7" x14ac:dyDescent="0.35">
      <c r="A18" s="1">
        <v>17</v>
      </c>
      <c r="B18" s="1" t="s">
        <v>6</v>
      </c>
      <c r="C18" s="1">
        <v>2018</v>
      </c>
      <c r="D18" s="9">
        <f>'ch receivable'!G18</f>
        <v>0.13506486909162779</v>
      </c>
      <c r="E18" s="9">
        <f>'ch in cash sales'!J18</f>
        <v>-0.14449502134319769</v>
      </c>
      <c r="F18" s="30">
        <f>'Ch In earning'!H18</f>
        <v>-3.0547959373116891E-3</v>
      </c>
      <c r="G18" s="9">
        <f t="shared" si="0"/>
        <v>-1.248494818888159E-2</v>
      </c>
    </row>
    <row r="19" spans="1:7" x14ac:dyDescent="0.35">
      <c r="A19" s="1">
        <v>18</v>
      </c>
      <c r="B19" s="1" t="s">
        <v>6</v>
      </c>
      <c r="C19" s="1">
        <v>2019</v>
      </c>
      <c r="D19" s="9">
        <f>'ch receivable'!G19</f>
        <v>4.9201017962381258E-2</v>
      </c>
      <c r="E19" s="9">
        <f>'ch in cash sales'!J19</f>
        <v>4.3648404893450704E-2</v>
      </c>
      <c r="F19" s="30">
        <f>'Ch In earning'!H19</f>
        <v>-7.9979437710749196E-3</v>
      </c>
      <c r="G19" s="9">
        <f t="shared" si="0"/>
        <v>8.4851479084757042E-2</v>
      </c>
    </row>
    <row r="20" spans="1:7" x14ac:dyDescent="0.35">
      <c r="A20" s="1">
        <v>19</v>
      </c>
      <c r="B20" s="1" t="s">
        <v>6</v>
      </c>
      <c r="C20" s="1">
        <v>2020</v>
      </c>
      <c r="D20" s="9">
        <f>'ch receivable'!G20</f>
        <v>-8.5522857103280808E-3</v>
      </c>
      <c r="E20" s="9">
        <f>'ch in cash sales'!J20</f>
        <v>4.0567941315188538E-3</v>
      </c>
      <c r="F20" s="30">
        <f>'Ch In earning'!H20</f>
        <v>5.1888232145002721E-3</v>
      </c>
      <c r="G20" s="9">
        <f t="shared" si="0"/>
        <v>6.933316356910451E-4</v>
      </c>
    </row>
    <row r="21" spans="1:7" x14ac:dyDescent="0.35">
      <c r="A21" s="1">
        <v>20</v>
      </c>
      <c r="B21" s="1" t="s">
        <v>6</v>
      </c>
      <c r="C21" s="1">
        <v>2021</v>
      </c>
      <c r="D21" s="9">
        <f>'ch receivable'!G21</f>
        <v>3.7010590257226791E-2</v>
      </c>
      <c r="E21" s="9">
        <f>'ch in cash sales'!J21</f>
        <v>-3.2923167454722589E-2</v>
      </c>
      <c r="F21" s="30">
        <f>'Ch In earning'!H21</f>
        <v>-3.1210506245503565E-3</v>
      </c>
      <c r="G21" s="9">
        <f t="shared" si="0"/>
        <v>9.6637217795384573E-4</v>
      </c>
    </row>
    <row r="22" spans="1:7" x14ac:dyDescent="0.35">
      <c r="A22" s="1">
        <v>21</v>
      </c>
      <c r="B22" s="1" t="s">
        <v>7</v>
      </c>
      <c r="C22" s="1">
        <v>2017</v>
      </c>
      <c r="D22" s="9" t="e">
        <f>'ch receivable'!G22</f>
        <v>#DIV/0!</v>
      </c>
      <c r="E22" s="9">
        <f>'ch in cash sales'!J22</f>
        <v>0</v>
      </c>
      <c r="F22" s="30" t="e">
        <f>'Ch In earning'!H22</f>
        <v>#DIV/0!</v>
      </c>
      <c r="G22" s="9" t="e">
        <f t="shared" si="0"/>
        <v>#DIV/0!</v>
      </c>
    </row>
    <row r="23" spans="1:7" x14ac:dyDescent="0.35">
      <c r="A23" s="1">
        <v>22</v>
      </c>
      <c r="B23" s="1" t="s">
        <v>7</v>
      </c>
      <c r="C23" s="1">
        <v>2018</v>
      </c>
      <c r="D23" s="9">
        <f>'ch receivable'!G23</f>
        <v>-6.9168630626512392E-2</v>
      </c>
      <c r="E23" s="9">
        <f>'ch in cash sales'!J23</f>
        <v>0.55094243838905554</v>
      </c>
      <c r="F23" s="30">
        <f>'Ch In earning'!H23</f>
        <v>4.2371482031806428E-2</v>
      </c>
      <c r="G23" s="9">
        <f t="shared" si="0"/>
        <v>0.5241452897943496</v>
      </c>
    </row>
    <row r="24" spans="1:7" x14ac:dyDescent="0.35">
      <c r="A24" s="1">
        <v>23</v>
      </c>
      <c r="B24" s="1" t="s">
        <v>7</v>
      </c>
      <c r="C24" s="1">
        <v>2019</v>
      </c>
      <c r="D24" s="9">
        <f>'ch receivable'!G24</f>
        <v>-2.0963542616562105E-2</v>
      </c>
      <c r="E24" s="9">
        <f>'ch in cash sales'!J24</f>
        <v>0.1773891027840083</v>
      </c>
      <c r="F24" s="30">
        <f>'Ch In earning'!H24</f>
        <v>-3.1192679654746831E-4</v>
      </c>
      <c r="G24" s="9">
        <f t="shared" si="0"/>
        <v>0.15611363337089873</v>
      </c>
    </row>
    <row r="25" spans="1:7" x14ac:dyDescent="0.35">
      <c r="A25" s="1">
        <v>24</v>
      </c>
      <c r="B25" s="1" t="s">
        <v>7</v>
      </c>
      <c r="C25" s="1">
        <v>2020</v>
      </c>
      <c r="D25" s="9">
        <f>'ch receivable'!G25</f>
        <v>-1.7094130639012375E-4</v>
      </c>
      <c r="E25" s="9">
        <f>'ch in cash sales'!J25</f>
        <v>-2.8795227249164335E-2</v>
      </c>
      <c r="F25" s="30">
        <f>'Ch In earning'!H25</f>
        <v>-1.6733451434128356E-3</v>
      </c>
      <c r="G25" s="9">
        <f t="shared" si="0"/>
        <v>-3.0639513698967294E-2</v>
      </c>
    </row>
    <row r="26" spans="1:7" x14ac:dyDescent="0.35">
      <c r="A26" s="1">
        <v>25</v>
      </c>
      <c r="B26" s="1" t="s">
        <v>7</v>
      </c>
      <c r="C26" s="1">
        <v>2021</v>
      </c>
      <c r="D26" s="9">
        <f>'ch receivable'!G26</f>
        <v>-1.4166377585128726E-2</v>
      </c>
      <c r="E26" s="9">
        <f>'ch in cash sales'!J26</f>
        <v>0.15367763261062439</v>
      </c>
      <c r="F26" s="30">
        <f>'Ch In earning'!H26</f>
        <v>3.6679350640897519E-3</v>
      </c>
      <c r="G26" s="9">
        <f t="shared" si="0"/>
        <v>0.14317919008958541</v>
      </c>
    </row>
    <row r="27" spans="1:7" x14ac:dyDescent="0.35">
      <c r="A27" s="1">
        <v>26</v>
      </c>
      <c r="B27" s="1" t="s">
        <v>8</v>
      </c>
      <c r="C27" s="1">
        <v>2017</v>
      </c>
      <c r="D27" s="9" t="e">
        <f>'ch receivable'!G27</f>
        <v>#DIV/0!</v>
      </c>
      <c r="E27" s="9">
        <f>'ch in cash sales'!J27</f>
        <v>0</v>
      </c>
      <c r="F27" s="30" t="e">
        <f>'Ch In earning'!H27</f>
        <v>#DIV/0!</v>
      </c>
      <c r="G27" s="9" t="e">
        <f t="shared" si="0"/>
        <v>#DIV/0!</v>
      </c>
    </row>
    <row r="28" spans="1:7" x14ac:dyDescent="0.35">
      <c r="A28" s="1">
        <v>27</v>
      </c>
      <c r="B28" s="1" t="s">
        <v>8</v>
      </c>
      <c r="C28" s="1">
        <v>2018</v>
      </c>
      <c r="D28" s="9">
        <f>'ch receivable'!G28</f>
        <v>1.2816638033978265E-2</v>
      </c>
      <c r="E28" s="9">
        <f>'ch in cash sales'!J28</f>
        <v>-2.8406225795919345E-3</v>
      </c>
      <c r="F28" s="30">
        <f>'Ch In earning'!H28</f>
        <v>1.5778094624937511E-3</v>
      </c>
      <c r="G28" s="9">
        <f t="shared" si="0"/>
        <v>1.1553824916880081E-2</v>
      </c>
    </row>
    <row r="29" spans="1:7" x14ac:dyDescent="0.35">
      <c r="A29" s="1">
        <v>28</v>
      </c>
      <c r="B29" s="1" t="s">
        <v>8</v>
      </c>
      <c r="C29" s="1">
        <v>2019</v>
      </c>
      <c r="D29" s="9">
        <f>'ch receivable'!G29</f>
        <v>6.9026282224428151E-2</v>
      </c>
      <c r="E29" s="9">
        <f>'ch in cash sales'!J29</f>
        <v>-0.18186105536497654</v>
      </c>
      <c r="F29" s="30">
        <f>'Ch In earning'!H29</f>
        <v>1.6434197826481478E-4</v>
      </c>
      <c r="G29" s="9">
        <f t="shared" si="0"/>
        <v>-0.11267043116228358</v>
      </c>
    </row>
    <row r="30" spans="1:7" x14ac:dyDescent="0.35">
      <c r="A30" s="1">
        <v>29</v>
      </c>
      <c r="B30" s="1" t="s">
        <v>8</v>
      </c>
      <c r="C30" s="1">
        <v>2020</v>
      </c>
      <c r="D30" s="9">
        <f>'ch receivable'!G30</f>
        <v>-4.5931967260068464E-2</v>
      </c>
      <c r="E30" s="9">
        <f>'ch in cash sales'!J30</f>
        <v>-4.5803955771954369E-2</v>
      </c>
      <c r="F30" s="30">
        <f>'Ch In earning'!H30</f>
        <v>-1.5765267267697225E-2</v>
      </c>
      <c r="G30" s="9">
        <f t="shared" si="0"/>
        <v>-0.10750119029972005</v>
      </c>
    </row>
    <row r="31" spans="1:7" x14ac:dyDescent="0.35">
      <c r="A31" s="1">
        <v>30</v>
      </c>
      <c r="B31" s="1" t="s">
        <v>8</v>
      </c>
      <c r="C31" s="1">
        <v>2021</v>
      </c>
      <c r="D31" s="9">
        <f>'ch receivable'!G31</f>
        <v>-3.2016207086186396E-2</v>
      </c>
      <c r="E31" s="9">
        <f>'ch in cash sales'!J31</f>
        <v>6.1680616736395646E-2</v>
      </c>
      <c r="F31" s="30">
        <f>'Ch In earning'!H31</f>
        <v>2.6194953104344242E-3</v>
      </c>
      <c r="G31" s="9">
        <f t="shared" si="0"/>
        <v>3.2283904960643678E-2</v>
      </c>
    </row>
    <row r="32" spans="1:7" x14ac:dyDescent="0.35">
      <c r="A32" s="1">
        <v>31</v>
      </c>
      <c r="B32" s="1" t="s">
        <v>9</v>
      </c>
      <c r="C32" s="1">
        <v>2017</v>
      </c>
      <c r="D32" s="9" t="e">
        <f>'ch receivable'!G32</f>
        <v>#DIV/0!</v>
      </c>
      <c r="E32" s="9">
        <f>'ch in cash sales'!J32</f>
        <v>0</v>
      </c>
      <c r="F32" s="30" t="e">
        <f>'Ch In earning'!H32</f>
        <v>#DIV/0!</v>
      </c>
      <c r="G32" s="9" t="e">
        <f t="shared" si="0"/>
        <v>#DIV/0!</v>
      </c>
    </row>
    <row r="33" spans="1:7" x14ac:dyDescent="0.35">
      <c r="A33" s="1">
        <v>32</v>
      </c>
      <c r="B33" s="1" t="s">
        <v>9</v>
      </c>
      <c r="C33" s="1">
        <v>2018</v>
      </c>
      <c r="D33" s="9">
        <f>'ch receivable'!G33</f>
        <v>0.1061770401592918</v>
      </c>
      <c r="E33" s="9">
        <f>'ch in cash sales'!J33</f>
        <v>8.6345883373887017E-2</v>
      </c>
      <c r="F33" s="30">
        <f>'Ch In earning'!H33</f>
        <v>6.4576254481258644E-3</v>
      </c>
      <c r="G33" s="9">
        <f t="shared" si="0"/>
        <v>0.19898054898130468</v>
      </c>
    </row>
    <row r="34" spans="1:7" x14ac:dyDescent="0.35">
      <c r="A34" s="1">
        <v>33</v>
      </c>
      <c r="B34" s="1" t="s">
        <v>9</v>
      </c>
      <c r="C34" s="1">
        <v>2019</v>
      </c>
      <c r="D34" s="9">
        <f>'ch receivable'!G34</f>
        <v>3.8048063417173081E-3</v>
      </c>
      <c r="E34" s="9">
        <f>'ch in cash sales'!J34</f>
        <v>3.8312017111566787E-2</v>
      </c>
      <c r="F34" s="30">
        <f>'Ch In earning'!H34</f>
        <v>-5.4544692585967898E-2</v>
      </c>
      <c r="G34" s="9">
        <f t="shared" si="0"/>
        <v>-1.2427869132683803E-2</v>
      </c>
    </row>
    <row r="35" spans="1:7" x14ac:dyDescent="0.35">
      <c r="A35" s="1">
        <v>34</v>
      </c>
      <c r="B35" s="1" t="s">
        <v>9</v>
      </c>
      <c r="C35" s="1">
        <v>2020</v>
      </c>
      <c r="D35" s="9">
        <f>'ch receivable'!G35</f>
        <v>-0.2751567475734441</v>
      </c>
      <c r="E35" s="9">
        <f>'ch in cash sales'!J35</f>
        <v>0.22076327727550468</v>
      </c>
      <c r="F35" s="30">
        <f>'Ch In earning'!H35</f>
        <v>1.6377603995128651E-2</v>
      </c>
      <c r="G35" s="9">
        <f t="shared" si="0"/>
        <v>-3.8015866302810772E-2</v>
      </c>
    </row>
    <row r="36" spans="1:7" x14ac:dyDescent="0.35">
      <c r="A36" s="1">
        <v>35</v>
      </c>
      <c r="B36" s="1" t="s">
        <v>9</v>
      </c>
      <c r="C36" s="1">
        <v>2021</v>
      </c>
      <c r="D36" s="9">
        <f>'ch receivable'!G36</f>
        <v>6.0337128971824416E-2</v>
      </c>
      <c r="E36" s="9">
        <f>'ch in cash sales'!J36</f>
        <v>-0.17606926332264938</v>
      </c>
      <c r="F36" s="30">
        <f>'Ch In earning'!H36</f>
        <v>2.9390900179749012E-2</v>
      </c>
      <c r="G36" s="9">
        <f t="shared" si="0"/>
        <v>-8.6341234171075948E-2</v>
      </c>
    </row>
    <row r="37" spans="1:7" x14ac:dyDescent="0.35">
      <c r="A37" s="1">
        <v>36</v>
      </c>
      <c r="B37" s="1" t="s">
        <v>10</v>
      </c>
      <c r="C37" s="1">
        <v>2017</v>
      </c>
      <c r="D37" s="9" t="e">
        <f>'ch receivable'!G37</f>
        <v>#DIV/0!</v>
      </c>
      <c r="E37" s="9">
        <f>'ch in cash sales'!J37</f>
        <v>0</v>
      </c>
      <c r="F37" s="30" t="e">
        <f>'Ch In earning'!H37</f>
        <v>#DIV/0!</v>
      </c>
      <c r="G37" s="9" t="e">
        <f t="shared" si="0"/>
        <v>#DIV/0!</v>
      </c>
    </row>
    <row r="38" spans="1:7" x14ac:dyDescent="0.35">
      <c r="A38" s="1">
        <v>37</v>
      </c>
      <c r="B38" s="1" t="s">
        <v>10</v>
      </c>
      <c r="C38" s="1">
        <v>2018</v>
      </c>
      <c r="D38" s="9">
        <f>'ch receivable'!G38</f>
        <v>-6.30103209447709E-3</v>
      </c>
      <c r="E38" s="9">
        <f>'ch in cash sales'!J38</f>
        <v>2.6557723170518119E-2</v>
      </c>
      <c r="F38" s="30">
        <f>'Ch In earning'!H38</f>
        <v>3.356502318330179E-4</v>
      </c>
      <c r="G38" s="9">
        <f t="shared" si="0"/>
        <v>2.0592341307874046E-2</v>
      </c>
    </row>
    <row r="39" spans="1:7" x14ac:dyDescent="0.35">
      <c r="A39" s="1">
        <v>38</v>
      </c>
      <c r="B39" s="1" t="s">
        <v>10</v>
      </c>
      <c r="C39" s="1">
        <v>2019</v>
      </c>
      <c r="D39" s="9">
        <f>'ch receivable'!G39</f>
        <v>1.7579932405383494E-2</v>
      </c>
      <c r="E39" s="9">
        <f>'ch in cash sales'!J39</f>
        <v>1.505698954088211E-2</v>
      </c>
      <c r="F39" s="30">
        <f>'Ch In earning'!H39</f>
        <v>4.1956869642142854E-3</v>
      </c>
      <c r="G39" s="9">
        <f t="shared" si="0"/>
        <v>3.6832608910479889E-2</v>
      </c>
    </row>
    <row r="40" spans="1:7" x14ac:dyDescent="0.35">
      <c r="A40" s="1">
        <v>39</v>
      </c>
      <c r="B40" s="1" t="s">
        <v>10</v>
      </c>
      <c r="C40" s="1">
        <v>2020</v>
      </c>
      <c r="D40" s="9">
        <f>'ch receivable'!G40</f>
        <v>-9.5275329451983026E-2</v>
      </c>
      <c r="E40" s="9">
        <f>'ch in cash sales'!J40</f>
        <v>1.7098648063720773E-2</v>
      </c>
      <c r="F40" s="30">
        <f>'Ch In earning'!H40</f>
        <v>-4.3660220352984939E-3</v>
      </c>
      <c r="G40" s="9">
        <f t="shared" si="0"/>
        <v>-8.2542703423560751E-2</v>
      </c>
    </row>
    <row r="41" spans="1:7" x14ac:dyDescent="0.35">
      <c r="A41" s="1">
        <v>40</v>
      </c>
      <c r="B41" s="1" t="s">
        <v>10</v>
      </c>
      <c r="C41" s="1">
        <v>2021</v>
      </c>
      <c r="D41" s="9">
        <f>'ch receivable'!G41</f>
        <v>1.9398436854449121E-2</v>
      </c>
      <c r="E41" s="9">
        <f>'ch in cash sales'!J41</f>
        <v>0.12495916450430758</v>
      </c>
      <c r="F41" s="30">
        <f>'Ch In earning'!H41</f>
        <v>-3.0372567602983749E-4</v>
      </c>
      <c r="G41" s="9">
        <f t="shared" si="0"/>
        <v>0.14405387568272685</v>
      </c>
    </row>
    <row r="42" spans="1:7" x14ac:dyDescent="0.35">
      <c r="A42" s="1">
        <v>41</v>
      </c>
      <c r="B42" s="1" t="s">
        <v>11</v>
      </c>
      <c r="C42" s="1">
        <v>2017</v>
      </c>
      <c r="D42" s="9" t="e">
        <f>'ch receivable'!G42</f>
        <v>#DIV/0!</v>
      </c>
      <c r="E42" s="9">
        <f>'ch in cash sales'!J42</f>
        <v>0</v>
      </c>
      <c r="F42" s="30" t="e">
        <f>'Ch In earning'!H42</f>
        <v>#DIV/0!</v>
      </c>
      <c r="G42" s="9" t="e">
        <f t="shared" si="0"/>
        <v>#DIV/0!</v>
      </c>
    </row>
    <row r="43" spans="1:7" x14ac:dyDescent="0.35">
      <c r="A43" s="1">
        <v>42</v>
      </c>
      <c r="B43" s="1" t="s">
        <v>11</v>
      </c>
      <c r="C43" s="1">
        <v>2018</v>
      </c>
      <c r="D43" s="9">
        <f>'ch receivable'!G43</f>
        <v>5.0914917444521195E-2</v>
      </c>
      <c r="E43" s="9">
        <f>'ch in cash sales'!J43</f>
        <v>-0.27015720483164274</v>
      </c>
      <c r="F43" s="30">
        <f>'Ch In earning'!H43</f>
        <v>4.268067167888346E-3</v>
      </c>
      <c r="G43" s="9">
        <f t="shared" si="0"/>
        <v>-0.21497422021923318</v>
      </c>
    </row>
    <row r="44" spans="1:7" x14ac:dyDescent="0.35">
      <c r="A44" s="1">
        <v>43</v>
      </c>
      <c r="B44" s="1" t="s">
        <v>11</v>
      </c>
      <c r="C44" s="1">
        <v>2019</v>
      </c>
      <c r="D44" s="9">
        <f>'ch receivable'!G44</f>
        <v>-7.3094071841318387E-2</v>
      </c>
      <c r="E44" s="9">
        <f>'ch in cash sales'!J44</f>
        <v>0.22491972607287714</v>
      </c>
      <c r="F44" s="30">
        <f>'Ch In earning'!H44</f>
        <v>-2.9188429228527209E-3</v>
      </c>
      <c r="G44" s="9">
        <f t="shared" si="0"/>
        <v>0.14890681130870603</v>
      </c>
    </row>
    <row r="45" spans="1:7" x14ac:dyDescent="0.35">
      <c r="A45" s="1">
        <v>44</v>
      </c>
      <c r="B45" s="1" t="s">
        <v>11</v>
      </c>
      <c r="C45" s="1">
        <v>2020</v>
      </c>
      <c r="D45" s="9">
        <f>'ch receivable'!G45</f>
        <v>-0.10578172926881868</v>
      </c>
      <c r="E45" s="9">
        <f>'ch in cash sales'!J45</f>
        <v>9.1331453209483271E-2</v>
      </c>
      <c r="F45" s="30">
        <f>'Ch In earning'!H45</f>
        <v>-3.0530890741265124E-3</v>
      </c>
      <c r="G45" s="9">
        <f t="shared" si="0"/>
        <v>-1.7503365133461922E-2</v>
      </c>
    </row>
    <row r="46" spans="1:7" x14ac:dyDescent="0.35">
      <c r="A46" s="1">
        <v>45</v>
      </c>
      <c r="B46" s="1" t="s">
        <v>11</v>
      </c>
      <c r="C46" s="1">
        <v>2021</v>
      </c>
      <c r="D46" s="9">
        <f>'ch receivable'!G46</f>
        <v>-2.1492590003509181E-2</v>
      </c>
      <c r="E46" s="9">
        <f>'ch in cash sales'!J46</f>
        <v>-0.10322463639632509</v>
      </c>
      <c r="F46" s="30">
        <f>'Ch In earning'!H46</f>
        <v>8.3395434392557859E-4</v>
      </c>
      <c r="G46" s="9">
        <f t="shared" si="0"/>
        <v>-0.1238832720559087</v>
      </c>
    </row>
    <row r="47" spans="1:7" x14ac:dyDescent="0.35">
      <c r="A47" s="1">
        <v>46</v>
      </c>
      <c r="B47" s="1" t="s">
        <v>12</v>
      </c>
      <c r="C47" s="1">
        <v>2017</v>
      </c>
      <c r="D47" s="9" t="e">
        <f>'ch receivable'!G47</f>
        <v>#DIV/0!</v>
      </c>
      <c r="E47" s="9">
        <f>'ch in cash sales'!J47</f>
        <v>0</v>
      </c>
      <c r="F47" s="30" t="e">
        <f>'Ch In earning'!H47</f>
        <v>#DIV/0!</v>
      </c>
      <c r="G47" s="9" t="e">
        <f t="shared" si="0"/>
        <v>#DIV/0!</v>
      </c>
    </row>
    <row r="48" spans="1:7" x14ac:dyDescent="0.35">
      <c r="A48" s="1">
        <v>47</v>
      </c>
      <c r="B48" s="1" t="s">
        <v>12</v>
      </c>
      <c r="C48" s="1">
        <v>2018</v>
      </c>
      <c r="D48" s="9">
        <f>'ch receivable'!G48</f>
        <v>5.518964804991372E-2</v>
      </c>
      <c r="E48" s="9">
        <f>'ch in cash sales'!J48</f>
        <v>-0.2470726849439403</v>
      </c>
      <c r="F48" s="30">
        <f>'Ch In earning'!H48</f>
        <v>1.6257111613633144E-3</v>
      </c>
      <c r="G48" s="9">
        <f t="shared" si="0"/>
        <v>-0.19025732573266327</v>
      </c>
    </row>
    <row r="49" spans="1:7" x14ac:dyDescent="0.35">
      <c r="A49" s="1">
        <v>48</v>
      </c>
      <c r="B49" s="1" t="s">
        <v>12</v>
      </c>
      <c r="C49" s="1">
        <v>2019</v>
      </c>
      <c r="D49" s="9">
        <f>'ch receivable'!G49</f>
        <v>3.0620689984264857E-2</v>
      </c>
      <c r="E49" s="9">
        <f>'ch in cash sales'!J49</f>
        <v>1.5300028925604552E-2</v>
      </c>
      <c r="F49" s="30">
        <f>'Ch In earning'!H49</f>
        <v>3.8370923984905672E-3</v>
      </c>
      <c r="G49" s="9">
        <f t="shared" si="0"/>
        <v>4.9757811308359975E-2</v>
      </c>
    </row>
    <row r="50" spans="1:7" x14ac:dyDescent="0.35">
      <c r="A50" s="1">
        <v>49</v>
      </c>
      <c r="B50" s="1" t="s">
        <v>12</v>
      </c>
      <c r="C50" s="1">
        <v>2020</v>
      </c>
      <c r="D50" s="9">
        <f>'ch receivable'!G50</f>
        <v>3.0459136182293185E-2</v>
      </c>
      <c r="E50" s="9">
        <f>'ch in cash sales'!J50</f>
        <v>6.6057365233405843E-2</v>
      </c>
      <c r="F50" s="30">
        <f>'Ch In earning'!H50</f>
        <v>-3.3187911260495577E-3</v>
      </c>
      <c r="G50" s="9">
        <f t="shared" si="0"/>
        <v>9.3197710289649474E-2</v>
      </c>
    </row>
    <row r="51" spans="1:7" x14ac:dyDescent="0.35">
      <c r="A51" s="1">
        <v>50</v>
      </c>
      <c r="B51" s="1" t="s">
        <v>12</v>
      </c>
      <c r="C51" s="1">
        <v>2021</v>
      </c>
      <c r="D51" s="9">
        <f>'ch receivable'!G51</f>
        <v>3.085851288614274E-2</v>
      </c>
      <c r="E51" s="9">
        <f>'ch in cash sales'!J51</f>
        <v>4.5267562029861319E-2</v>
      </c>
      <c r="F51" s="30">
        <f>'Ch In earning'!H51</f>
        <v>-2.5577093687867772E-4</v>
      </c>
      <c r="G51" s="9">
        <f t="shared" si="0"/>
        <v>7.5870303979125392E-2</v>
      </c>
    </row>
    <row r="52" spans="1:7" x14ac:dyDescent="0.35">
      <c r="A52" s="1">
        <v>51</v>
      </c>
      <c r="B52" s="1" t="s">
        <v>13</v>
      </c>
      <c r="C52" s="1">
        <v>2017</v>
      </c>
      <c r="D52" s="9" t="e">
        <f>'ch receivable'!G52</f>
        <v>#DIV/0!</v>
      </c>
      <c r="E52" s="9">
        <f>'ch in cash sales'!J52</f>
        <v>0</v>
      </c>
      <c r="F52" s="30" t="e">
        <f>'Ch In earning'!H52</f>
        <v>#DIV/0!</v>
      </c>
      <c r="G52" s="9" t="e">
        <f t="shared" si="0"/>
        <v>#DIV/0!</v>
      </c>
    </row>
    <row r="53" spans="1:7" x14ac:dyDescent="0.35">
      <c r="A53" s="1">
        <v>52</v>
      </c>
      <c r="B53" s="1" t="s">
        <v>13</v>
      </c>
      <c r="C53" s="1">
        <v>2018</v>
      </c>
      <c r="D53" s="9">
        <f>'ch receivable'!G53</f>
        <v>5.9950738304019972E-2</v>
      </c>
      <c r="E53" s="9">
        <f>'ch in cash sales'!J53</f>
        <v>3.7666135918369592E-2</v>
      </c>
      <c r="F53" s="30">
        <f>'Ch In earning'!H53</f>
        <v>2.0836603459163376E-2</v>
      </c>
      <c r="G53" s="9">
        <f t="shared" si="0"/>
        <v>0.11845347768155295</v>
      </c>
    </row>
    <row r="54" spans="1:7" x14ac:dyDescent="0.35">
      <c r="A54" s="1">
        <v>53</v>
      </c>
      <c r="B54" s="1" t="s">
        <v>13</v>
      </c>
      <c r="C54" s="1">
        <v>2019</v>
      </c>
      <c r="D54" s="9">
        <f>'ch receivable'!G54</f>
        <v>6.9468595863162091E-2</v>
      </c>
      <c r="E54" s="9">
        <f>'ch in cash sales'!J54</f>
        <v>2.5625610073082838E-2</v>
      </c>
      <c r="F54" s="30">
        <f>'Ch In earning'!H54</f>
        <v>-6.3632458847270659E-3</v>
      </c>
      <c r="G54" s="9">
        <f t="shared" si="0"/>
        <v>8.8730960051517871E-2</v>
      </c>
    </row>
    <row r="55" spans="1:7" x14ac:dyDescent="0.35">
      <c r="A55" s="1">
        <v>54</v>
      </c>
      <c r="B55" s="1" t="s">
        <v>13</v>
      </c>
      <c r="C55" s="1">
        <v>2020</v>
      </c>
      <c r="D55" s="9">
        <f>'ch receivable'!G55</f>
        <v>-0.22166023081659628</v>
      </c>
      <c r="E55" s="9">
        <f>'ch in cash sales'!J55</f>
        <v>0.10503291836281745</v>
      </c>
      <c r="F55" s="30">
        <f>'Ch In earning'!H55</f>
        <v>-2.7253985775101658E-2</v>
      </c>
      <c r="G55" s="9">
        <f t="shared" si="0"/>
        <v>-0.14388129822888049</v>
      </c>
    </row>
    <row r="56" spans="1:7" x14ac:dyDescent="0.35">
      <c r="A56" s="1">
        <v>55</v>
      </c>
      <c r="B56" s="1" t="s">
        <v>13</v>
      </c>
      <c r="C56" s="1">
        <v>2021</v>
      </c>
      <c r="D56" s="9">
        <f>'ch receivable'!G56</f>
        <v>-0.10029239526449665</v>
      </c>
      <c r="E56" s="9">
        <f>'ch in cash sales'!J56</f>
        <v>3.861769567987218E-2</v>
      </c>
      <c r="F56" s="30">
        <f>'Ch In earning'!H56</f>
        <v>2.414507350975563E-2</v>
      </c>
      <c r="G56" s="9">
        <f t="shared" si="0"/>
        <v>-3.7529626074868844E-2</v>
      </c>
    </row>
    <row r="57" spans="1:7" x14ac:dyDescent="0.35">
      <c r="A57" s="1">
        <v>56</v>
      </c>
      <c r="B57" s="1" t="s">
        <v>14</v>
      </c>
      <c r="C57" s="1">
        <v>2017</v>
      </c>
      <c r="D57" s="9" t="e">
        <f>'ch receivable'!G57</f>
        <v>#DIV/0!</v>
      </c>
      <c r="E57" s="9">
        <f>'ch in cash sales'!J57</f>
        <v>0</v>
      </c>
      <c r="F57" s="30" t="e">
        <f>'Ch In earning'!H57</f>
        <v>#DIV/0!</v>
      </c>
      <c r="G57" s="9" t="e">
        <f t="shared" si="0"/>
        <v>#DIV/0!</v>
      </c>
    </row>
    <row r="58" spans="1:7" x14ac:dyDescent="0.35">
      <c r="A58" s="1">
        <v>57</v>
      </c>
      <c r="B58" s="1" t="s">
        <v>14</v>
      </c>
      <c r="C58" s="1">
        <v>2018</v>
      </c>
      <c r="D58" s="9">
        <f>'ch receivable'!G58</f>
        <v>1.9415915114085011E-2</v>
      </c>
      <c r="E58" s="9">
        <f>'ch in cash sales'!J58</f>
        <v>-0.22206860400281614</v>
      </c>
      <c r="F58" s="30">
        <f>'Ch In earning'!H58</f>
        <v>-9.3955540477697365E-3</v>
      </c>
      <c r="G58" s="9">
        <f t="shared" si="0"/>
        <v>-0.21204824293650085</v>
      </c>
    </row>
    <row r="59" spans="1:7" x14ac:dyDescent="0.35">
      <c r="A59" s="1">
        <v>58</v>
      </c>
      <c r="B59" s="1" t="s">
        <v>14</v>
      </c>
      <c r="C59" s="1">
        <v>2019</v>
      </c>
      <c r="D59" s="9">
        <f>'ch receivable'!G59</f>
        <v>2.8170227853928538E-2</v>
      </c>
      <c r="E59" s="9">
        <f>'ch in cash sales'!J59</f>
        <v>-0.21671320881363976</v>
      </c>
      <c r="F59" s="30">
        <f>'Ch In earning'!H59</f>
        <v>4.0474504995493318E-3</v>
      </c>
      <c r="G59" s="9">
        <f t="shared" si="0"/>
        <v>-0.1844955304601619</v>
      </c>
    </row>
    <row r="60" spans="1:7" x14ac:dyDescent="0.35">
      <c r="A60" s="1">
        <v>59</v>
      </c>
      <c r="B60" s="1" t="s">
        <v>14</v>
      </c>
      <c r="C60" s="1">
        <v>2020</v>
      </c>
      <c r="D60" s="9">
        <f>'ch receivable'!G60</f>
        <v>-0.10146132227701724</v>
      </c>
      <c r="E60" s="9">
        <f>'ch in cash sales'!J60</f>
        <v>0.2743512894460714</v>
      </c>
      <c r="F60" s="30">
        <f>'Ch In earning'!H60</f>
        <v>-8.0440317846741227E-3</v>
      </c>
      <c r="G60" s="9">
        <f t="shared" si="0"/>
        <v>0.16484593538438005</v>
      </c>
    </row>
    <row r="61" spans="1:7" x14ac:dyDescent="0.35">
      <c r="A61" s="1">
        <v>60</v>
      </c>
      <c r="B61" s="1" t="s">
        <v>14</v>
      </c>
      <c r="C61" s="1">
        <v>2021</v>
      </c>
      <c r="D61" s="9">
        <f>'ch receivable'!G61</f>
        <v>2.1138946502708492E-2</v>
      </c>
      <c r="E61" s="9">
        <f>'ch in cash sales'!J61</f>
        <v>0.2216249018157587</v>
      </c>
      <c r="F61" s="30">
        <f>'Ch In earning'!H61</f>
        <v>-1.9248706109620244E-3</v>
      </c>
      <c r="G61" s="9">
        <f t="shared" si="0"/>
        <v>0.24083897770750518</v>
      </c>
    </row>
    <row r="62" spans="1:7" x14ac:dyDescent="0.35">
      <c r="A62" s="1">
        <v>61</v>
      </c>
      <c r="B62" s="1" t="s">
        <v>15</v>
      </c>
      <c r="C62" s="1">
        <v>2017</v>
      </c>
      <c r="D62" s="9" t="e">
        <f>'ch receivable'!G62</f>
        <v>#DIV/0!</v>
      </c>
      <c r="E62" s="9">
        <f>'ch in cash sales'!J62</f>
        <v>0</v>
      </c>
      <c r="F62" s="30" t="e">
        <f>'Ch In earning'!H62</f>
        <v>#DIV/0!</v>
      </c>
      <c r="G62" s="9" t="e">
        <f t="shared" si="0"/>
        <v>#DIV/0!</v>
      </c>
    </row>
    <row r="63" spans="1:7" x14ac:dyDescent="0.35">
      <c r="A63" s="1">
        <v>62</v>
      </c>
      <c r="B63" s="1" t="s">
        <v>15</v>
      </c>
      <c r="C63" s="1">
        <v>2018</v>
      </c>
      <c r="D63" s="9">
        <f>'ch receivable'!G63</f>
        <v>0.10603174121313451</v>
      </c>
      <c r="E63" s="9">
        <f>'ch in cash sales'!J63</f>
        <v>0.17283766926211694</v>
      </c>
      <c r="F63" s="30">
        <f>'Ch In earning'!H63</f>
        <v>2.5309616785833058E-3</v>
      </c>
      <c r="G63" s="9">
        <f t="shared" si="0"/>
        <v>0.28140037215383473</v>
      </c>
    </row>
    <row r="64" spans="1:7" x14ac:dyDescent="0.35">
      <c r="A64" s="1">
        <v>63</v>
      </c>
      <c r="B64" s="1" t="s">
        <v>15</v>
      </c>
      <c r="C64" s="1">
        <v>2019</v>
      </c>
      <c r="D64" s="9">
        <f>'ch receivable'!G64</f>
        <v>8.5024677024328282E-2</v>
      </c>
      <c r="E64" s="9">
        <f>'ch in cash sales'!J64</f>
        <v>2.2367958393163467E-2</v>
      </c>
      <c r="F64" s="30">
        <f>'Ch In earning'!H64</f>
        <v>6.2689522110218054E-4</v>
      </c>
      <c r="G64" s="9">
        <f t="shared" si="0"/>
        <v>0.10801953063859393</v>
      </c>
    </row>
    <row r="65" spans="1:7" x14ac:dyDescent="0.35">
      <c r="A65" s="1">
        <v>64</v>
      </c>
      <c r="B65" s="1" t="s">
        <v>15</v>
      </c>
      <c r="C65" s="1">
        <v>2020</v>
      </c>
      <c r="D65" s="9">
        <f>'ch receivable'!G65</f>
        <v>-0.26051239815811789</v>
      </c>
      <c r="E65" s="9">
        <f>'ch in cash sales'!J65</f>
        <v>0.17272964745611244</v>
      </c>
      <c r="F65" s="30">
        <f>'Ch In earning'!H65</f>
        <v>-2.6367605078205257E-2</v>
      </c>
      <c r="G65" s="9">
        <f t="shared" si="0"/>
        <v>-0.11415035578021071</v>
      </c>
    </row>
    <row r="66" spans="1:7" x14ac:dyDescent="0.35">
      <c r="A66" s="1">
        <v>65</v>
      </c>
      <c r="B66" s="1" t="s">
        <v>15</v>
      </c>
      <c r="C66" s="1">
        <v>2021</v>
      </c>
      <c r="D66" s="9">
        <f>'ch receivable'!G66</f>
        <v>-0.25618090652797165</v>
      </c>
      <c r="E66" s="9">
        <f>'ch in cash sales'!J66</f>
        <v>0.1066078998619493</v>
      </c>
      <c r="F66" s="30">
        <f>'Ch In earning'!H66</f>
        <v>2.2396726016071025E-3</v>
      </c>
      <c r="G66" s="9">
        <f t="shared" si="0"/>
        <v>-0.14733333406441526</v>
      </c>
    </row>
    <row r="67" spans="1:7" x14ac:dyDescent="0.35">
      <c r="A67" s="1">
        <v>66</v>
      </c>
      <c r="B67" s="1" t="s">
        <v>16</v>
      </c>
      <c r="C67" s="1">
        <v>2017</v>
      </c>
      <c r="D67" s="9" t="e">
        <f>'ch receivable'!G67</f>
        <v>#DIV/0!</v>
      </c>
      <c r="E67" s="9">
        <f>'ch in cash sales'!J67</f>
        <v>0</v>
      </c>
      <c r="F67" s="30" t="e">
        <f>'Ch In earning'!H67</f>
        <v>#DIV/0!</v>
      </c>
      <c r="G67" s="9" t="e">
        <f t="shared" ref="G67:G130" si="1">D67+E67+F67</f>
        <v>#DIV/0!</v>
      </c>
    </row>
    <row r="68" spans="1:7" x14ac:dyDescent="0.35">
      <c r="A68" s="1">
        <v>67</v>
      </c>
      <c r="B68" s="1" t="s">
        <v>16</v>
      </c>
      <c r="C68" s="1">
        <v>2018</v>
      </c>
      <c r="D68" s="9">
        <f>-'ch receivable'!G68</f>
        <v>0.66091734167435234</v>
      </c>
      <c r="E68" s="9">
        <f>-'ch in cash sales'!J68</f>
        <v>3.8234055526846999E-2</v>
      </c>
      <c r="F68" s="30">
        <f>-'Ch In earning'!H68</f>
        <v>9.8807759569832024E-2</v>
      </c>
      <c r="G68" s="9">
        <f t="shared" si="1"/>
        <v>0.79795915677103135</v>
      </c>
    </row>
    <row r="69" spans="1:7" x14ac:dyDescent="0.35">
      <c r="A69" s="1">
        <v>68</v>
      </c>
      <c r="B69" s="1" t="s">
        <v>16</v>
      </c>
      <c r="C69" s="1">
        <v>2019</v>
      </c>
      <c r="D69" s="9">
        <f>-'ch receivable'!G69</f>
        <v>0.61578342019617016</v>
      </c>
      <c r="E69" s="9">
        <f>'ch in cash sales'!J69</f>
        <v>1.4300825198841878</v>
      </c>
      <c r="F69" s="30">
        <f>'Ch In earning'!H69</f>
        <v>-1.9091267855715272E-2</v>
      </c>
      <c r="G69" s="9">
        <f t="shared" si="1"/>
        <v>2.0267746722246427</v>
      </c>
    </row>
    <row r="70" spans="1:7" x14ac:dyDescent="0.35">
      <c r="A70" s="1">
        <v>69</v>
      </c>
      <c r="B70" s="1" t="s">
        <v>16</v>
      </c>
      <c r="C70" s="1">
        <v>2020</v>
      </c>
      <c r="D70" s="9">
        <f>-'ch receivable'!G70</f>
        <v>0.22077423673300006</v>
      </c>
      <c r="E70" s="9">
        <f>-'ch in cash sales'!J70</f>
        <v>0.97079334372830917</v>
      </c>
      <c r="F70" s="30">
        <f>'Ch In earning'!H70</f>
        <v>2.8831050963818633E-2</v>
      </c>
      <c r="G70" s="9">
        <f t="shared" si="1"/>
        <v>1.2203986314251278</v>
      </c>
    </row>
    <row r="71" spans="1:7" x14ac:dyDescent="0.35">
      <c r="A71" s="1">
        <v>70</v>
      </c>
      <c r="B71" s="1" t="s">
        <v>16</v>
      </c>
      <c r="C71" s="1">
        <v>2021</v>
      </c>
      <c r="D71" s="9">
        <f>'ch receivable'!G71</f>
        <v>0.67156344488707553</v>
      </c>
      <c r="E71" s="9">
        <f>-'ch in cash sales'!J71</f>
        <v>0.32178010130767498</v>
      </c>
      <c r="F71" s="30">
        <f>'Ch In earning'!H71</f>
        <v>0.13488696458153254</v>
      </c>
      <c r="G71" s="9">
        <f t="shared" si="1"/>
        <v>1.1282305107762831</v>
      </c>
    </row>
    <row r="72" spans="1:7" x14ac:dyDescent="0.35">
      <c r="A72" s="1">
        <v>71</v>
      </c>
      <c r="B72" s="1" t="s">
        <v>17</v>
      </c>
      <c r="C72" s="1">
        <v>2017</v>
      </c>
      <c r="D72" s="9" t="e">
        <f>'ch receivable'!G72</f>
        <v>#DIV/0!</v>
      </c>
      <c r="E72" s="9">
        <f>'ch in cash sales'!J72</f>
        <v>0</v>
      </c>
      <c r="F72" s="30" t="e">
        <f>'Ch In earning'!H72</f>
        <v>#DIV/0!</v>
      </c>
      <c r="G72" s="9" t="e">
        <f t="shared" si="1"/>
        <v>#DIV/0!</v>
      </c>
    </row>
    <row r="73" spans="1:7" x14ac:dyDescent="0.35">
      <c r="A73" s="1">
        <v>72</v>
      </c>
      <c r="B73" s="1" t="s">
        <v>17</v>
      </c>
      <c r="C73" s="1">
        <v>2018</v>
      </c>
      <c r="D73" s="9">
        <f>'ch receivable'!G73</f>
        <v>0.10188344347202627</v>
      </c>
      <c r="E73" s="9">
        <f>'ch in cash sales'!J73</f>
        <v>-2.2704791914515965E-3</v>
      </c>
      <c r="F73" s="30">
        <f>'Ch In earning'!H73</f>
        <v>-3.7681484608018626E-3</v>
      </c>
      <c r="G73" s="9">
        <f t="shared" si="1"/>
        <v>9.5844815819772805E-2</v>
      </c>
    </row>
    <row r="74" spans="1:7" x14ac:dyDescent="0.35">
      <c r="A74" s="1">
        <v>73</v>
      </c>
      <c r="B74" s="1" t="s">
        <v>17</v>
      </c>
      <c r="C74" s="1">
        <v>2019</v>
      </c>
      <c r="D74" s="9">
        <f>'ch receivable'!G74</f>
        <v>6.0768799220475463E-2</v>
      </c>
      <c r="E74" s="9">
        <f>'ch in cash sales'!J74</f>
        <v>-9.45336683412695E-2</v>
      </c>
      <c r="F74" s="30">
        <f>'Ch In earning'!H74</f>
        <v>-2.395889208235821E-4</v>
      </c>
      <c r="G74" s="9">
        <f t="shared" si="1"/>
        <v>-3.400445804161762E-2</v>
      </c>
    </row>
    <row r="75" spans="1:7" x14ac:dyDescent="0.35">
      <c r="A75" s="1">
        <v>74</v>
      </c>
      <c r="B75" s="1" t="s">
        <v>17</v>
      </c>
      <c r="C75" s="1">
        <v>2020</v>
      </c>
      <c r="D75" s="9">
        <f>-'ch receivable'!G75</f>
        <v>0.1631015801181514</v>
      </c>
      <c r="E75" s="9">
        <f>-'ch in cash sales'!J75</f>
        <v>0.53222033581763117</v>
      </c>
      <c r="F75" s="30">
        <f>'Ch In earning'!H75</f>
        <v>-3.7467954457145818E-3</v>
      </c>
      <c r="G75" s="9">
        <f t="shared" si="1"/>
        <v>0.69157512049006808</v>
      </c>
    </row>
    <row r="76" spans="1:7" x14ac:dyDescent="0.35">
      <c r="A76" s="1">
        <v>75</v>
      </c>
      <c r="B76" s="1" t="s">
        <v>17</v>
      </c>
      <c r="C76" s="1">
        <v>2021</v>
      </c>
      <c r="D76" s="9">
        <f>'ch receivable'!G76</f>
        <v>0.14796433701358661</v>
      </c>
      <c r="E76" s="9">
        <f>'ch in cash sales'!J76</f>
        <v>-0.35563176826088244</v>
      </c>
      <c r="F76" s="30">
        <f>'Ch In earning'!H76</f>
        <v>-1.6807491901487284E-3</v>
      </c>
      <c r="G76" s="9">
        <f t="shared" si="1"/>
        <v>-0.20934818043744458</v>
      </c>
    </row>
    <row r="77" spans="1:7" x14ac:dyDescent="0.35">
      <c r="A77" s="1">
        <v>76</v>
      </c>
      <c r="B77" s="1" t="s">
        <v>18</v>
      </c>
      <c r="C77" s="1">
        <v>2017</v>
      </c>
      <c r="D77" s="9" t="e">
        <f>'ch receivable'!G77</f>
        <v>#DIV/0!</v>
      </c>
      <c r="E77" s="9">
        <f>'ch in cash sales'!J77</f>
        <v>0</v>
      </c>
      <c r="F77" s="30" t="e">
        <f>'Ch In earning'!H77</f>
        <v>#DIV/0!</v>
      </c>
      <c r="G77" s="9" t="e">
        <f t="shared" si="1"/>
        <v>#DIV/0!</v>
      </c>
    </row>
    <row r="78" spans="1:7" x14ac:dyDescent="0.35">
      <c r="A78" s="1">
        <v>77</v>
      </c>
      <c r="B78" s="1" t="s">
        <v>18</v>
      </c>
      <c r="C78" s="1">
        <v>2018</v>
      </c>
      <c r="D78" s="9">
        <f>-'ch receivable'!G78</f>
        <v>3.1540804626509954E-2</v>
      </c>
      <c r="E78" s="9">
        <f>-'ch in cash sales'!J78</f>
        <v>1.5534299502027913</v>
      </c>
      <c r="F78" s="30">
        <f>'Ch In earning'!H78</f>
        <v>-6.7235307105593112E-3</v>
      </c>
      <c r="G78" s="9">
        <f t="shared" si="1"/>
        <v>1.578247224118742</v>
      </c>
    </row>
    <row r="79" spans="1:7" x14ac:dyDescent="0.35">
      <c r="A79" s="1">
        <v>78</v>
      </c>
      <c r="B79" s="1" t="s">
        <v>18</v>
      </c>
      <c r="C79" s="1">
        <v>2019</v>
      </c>
      <c r="D79" s="9">
        <f>'ch receivable'!G79</f>
        <v>-1.7745596800629218E-2</v>
      </c>
      <c r="E79" s="9">
        <f>'ch in cash sales'!J79</f>
        <v>1.8956843478796979</v>
      </c>
      <c r="F79" s="30">
        <f>'Ch In earning'!H79</f>
        <v>-0.36802953248825521</v>
      </c>
      <c r="G79" s="9">
        <f t="shared" si="1"/>
        <v>1.5099092185908134</v>
      </c>
    </row>
    <row r="80" spans="1:7" x14ac:dyDescent="0.35">
      <c r="A80" s="1">
        <v>79</v>
      </c>
      <c r="B80" s="1" t="s">
        <v>18</v>
      </c>
      <c r="C80" s="1">
        <v>2020</v>
      </c>
      <c r="D80" s="9">
        <f>'ch receivable'!G80</f>
        <v>2.4059386764852312E-2</v>
      </c>
      <c r="E80" s="9">
        <f>-'ch in cash sales'!J80</f>
        <v>0.86665061168419877</v>
      </c>
      <c r="F80" s="30">
        <f>'Ch In earning'!H80</f>
        <v>6.0645481826725495E-2</v>
      </c>
      <c r="G80" s="9">
        <f t="shared" si="1"/>
        <v>0.95135548027577654</v>
      </c>
    </row>
    <row r="81" spans="1:7" x14ac:dyDescent="0.35">
      <c r="A81" s="1">
        <v>80</v>
      </c>
      <c r="B81" s="1" t="s">
        <v>18</v>
      </c>
      <c r="C81" s="1">
        <v>2021</v>
      </c>
      <c r="D81" s="9">
        <f>-'ch receivable'!G81</f>
        <v>4.4021029614352163E-2</v>
      </c>
      <c r="E81" s="9">
        <f>'ch in cash sales'!J81</f>
        <v>0.98461742777014105</v>
      </c>
      <c r="F81" s="30">
        <f>'Ch In earning'!H81</f>
        <v>5.7520257801000119E-2</v>
      </c>
      <c r="G81" s="9">
        <f t="shared" si="1"/>
        <v>1.0861587151854932</v>
      </c>
    </row>
    <row r="82" spans="1:7" x14ac:dyDescent="0.35">
      <c r="A82" s="1">
        <v>81</v>
      </c>
      <c r="B82" s="1" t="s">
        <v>19</v>
      </c>
      <c r="C82" s="1">
        <v>2017</v>
      </c>
      <c r="D82" s="9" t="e">
        <f>'ch receivable'!G82</f>
        <v>#DIV/0!</v>
      </c>
      <c r="E82" s="9">
        <f>'ch in cash sales'!J82</f>
        <v>0</v>
      </c>
      <c r="F82" s="30" t="e">
        <f>'Ch In earning'!H82</f>
        <v>#DIV/0!</v>
      </c>
      <c r="G82" s="9" t="e">
        <f t="shared" si="1"/>
        <v>#DIV/0!</v>
      </c>
    </row>
    <row r="83" spans="1:7" x14ac:dyDescent="0.35">
      <c r="A83" s="1">
        <v>82</v>
      </c>
      <c r="B83" s="1" t="s">
        <v>19</v>
      </c>
      <c r="C83" s="1">
        <v>2018</v>
      </c>
      <c r="D83" s="9">
        <f>'ch receivable'!G83</f>
        <v>1.4425103261281216E-3</v>
      </c>
      <c r="E83" s="9">
        <f>'ch in cash sales'!J83</f>
        <v>-0.38645847595882965</v>
      </c>
      <c r="F83" s="30">
        <f>'Ch In earning'!H83</f>
        <v>6.0938952305997357E-3</v>
      </c>
      <c r="G83" s="9">
        <f t="shared" si="1"/>
        <v>-0.3789220704021018</v>
      </c>
    </row>
    <row r="84" spans="1:7" x14ac:dyDescent="0.35">
      <c r="A84" s="1">
        <v>83</v>
      </c>
      <c r="B84" s="1" t="s">
        <v>19</v>
      </c>
      <c r="C84" s="1">
        <v>2019</v>
      </c>
      <c r="D84" s="9">
        <f>'ch receivable'!G84</f>
        <v>1.6854192360777698E-3</v>
      </c>
      <c r="E84" s="9">
        <f>'ch in cash sales'!J84</f>
        <v>-0.19604726149103721</v>
      </c>
      <c r="F84" s="30">
        <f>'Ch In earning'!H84</f>
        <v>6.594727913223089E-3</v>
      </c>
      <c r="G84" s="9">
        <f t="shared" si="1"/>
        <v>-0.18776711434173637</v>
      </c>
    </row>
    <row r="85" spans="1:7" x14ac:dyDescent="0.35">
      <c r="A85" s="1">
        <v>84</v>
      </c>
      <c r="B85" s="1" t="s">
        <v>19</v>
      </c>
      <c r="C85" s="1">
        <v>2020</v>
      </c>
      <c r="D85" s="9">
        <f>'ch receivable'!G85</f>
        <v>3.1164281173460045E-3</v>
      </c>
      <c r="E85" s="9">
        <f>'ch in cash sales'!J85</f>
        <v>-0.82090917923046058</v>
      </c>
      <c r="F85" s="30">
        <f>'Ch In earning'!H85</f>
        <v>1.6245390730988435E-2</v>
      </c>
      <c r="G85" s="9">
        <f t="shared" si="1"/>
        <v>-0.80154736038212615</v>
      </c>
    </row>
    <row r="86" spans="1:7" x14ac:dyDescent="0.35">
      <c r="A86" s="1">
        <v>85</v>
      </c>
      <c r="B86" s="1" t="s">
        <v>19</v>
      </c>
      <c r="C86" s="1">
        <v>2021</v>
      </c>
      <c r="D86" s="9">
        <f>'ch receivable'!G86</f>
        <v>7.8878460650637198E-4</v>
      </c>
      <c r="E86" s="9">
        <f>'ch in cash sales'!J86</f>
        <v>-0.11891684740795538</v>
      </c>
      <c r="F86" s="30">
        <f>'Ch In earning'!H86</f>
        <v>-6.1449536541231434E-2</v>
      </c>
      <c r="G86" s="9">
        <f t="shared" si="1"/>
        <v>-0.17957759934268044</v>
      </c>
    </row>
    <row r="87" spans="1:7" x14ac:dyDescent="0.35">
      <c r="A87" s="1">
        <v>86</v>
      </c>
      <c r="B87" s="1" t="s">
        <v>20</v>
      </c>
      <c r="C87" s="1">
        <v>2017</v>
      </c>
      <c r="D87" s="9" t="e">
        <f>'ch receivable'!G87</f>
        <v>#DIV/0!</v>
      </c>
      <c r="E87" s="9">
        <f>'ch in cash sales'!J87</f>
        <v>0</v>
      </c>
      <c r="F87" s="30" t="e">
        <f>'Ch In earning'!H87</f>
        <v>#DIV/0!</v>
      </c>
      <c r="G87" s="9" t="e">
        <f t="shared" si="1"/>
        <v>#DIV/0!</v>
      </c>
    </row>
    <row r="88" spans="1:7" x14ac:dyDescent="0.35">
      <c r="A88" s="1">
        <v>87</v>
      </c>
      <c r="B88" s="1" t="s">
        <v>20</v>
      </c>
      <c r="C88" s="1">
        <v>2018</v>
      </c>
      <c r="D88" s="9">
        <f>'ch receivable'!G88</f>
        <v>0.13773131751702192</v>
      </c>
      <c r="E88" s="9">
        <f>'ch in cash sales'!J88</f>
        <v>-2.8414467825292611E-2</v>
      </c>
      <c r="F88" s="30">
        <f>'Ch In earning'!H88</f>
        <v>1.7519534506663936E-3</v>
      </c>
      <c r="G88" s="9">
        <f t="shared" si="1"/>
        <v>0.1110688031423957</v>
      </c>
    </row>
    <row r="89" spans="1:7" x14ac:dyDescent="0.35">
      <c r="A89" s="1">
        <v>88</v>
      </c>
      <c r="B89" s="1" t="s">
        <v>20</v>
      </c>
      <c r="C89" s="1">
        <v>2019</v>
      </c>
      <c r="D89" s="9">
        <f>'ch receivable'!G89</f>
        <v>0.13401839679785515</v>
      </c>
      <c r="E89" s="9">
        <f>'ch in cash sales'!J89</f>
        <v>-0.23578990407649794</v>
      </c>
      <c r="F89" s="30">
        <f>'Ch In earning'!H89</f>
        <v>-4.5828277303712629E-3</v>
      </c>
      <c r="G89" s="9">
        <f t="shared" si="1"/>
        <v>-0.10635433500901405</v>
      </c>
    </row>
    <row r="90" spans="1:7" x14ac:dyDescent="0.35">
      <c r="A90" s="1">
        <v>89</v>
      </c>
      <c r="B90" s="1" t="s">
        <v>20</v>
      </c>
      <c r="C90" s="1">
        <v>2020</v>
      </c>
      <c r="D90" s="9">
        <f>'ch receivable'!G90</f>
        <v>8.4686511488361621E-2</v>
      </c>
      <c r="E90" s="9">
        <f>'ch in cash sales'!J90</f>
        <v>-6.6058547871157253E-2</v>
      </c>
      <c r="F90" s="30">
        <f>'Ch In earning'!H90</f>
        <v>-8.5915490252322022E-5</v>
      </c>
      <c r="G90" s="9">
        <f t="shared" si="1"/>
        <v>1.8542048126952045E-2</v>
      </c>
    </row>
    <row r="91" spans="1:7" x14ac:dyDescent="0.35">
      <c r="A91" s="1">
        <v>90</v>
      </c>
      <c r="B91" s="1" t="s">
        <v>20</v>
      </c>
      <c r="C91" s="1">
        <v>2021</v>
      </c>
      <c r="D91" s="9">
        <f>'ch receivable'!G91</f>
        <v>8.5905298250539275E-2</v>
      </c>
      <c r="E91" s="9">
        <f>'ch in cash sales'!J91</f>
        <v>3.2285607006798861E-2</v>
      </c>
      <c r="F91" s="30">
        <f>'Ch In earning'!H91</f>
        <v>8.7534887787104297E-4</v>
      </c>
      <c r="G91" s="9">
        <f t="shared" si="1"/>
        <v>0.11906625413520917</v>
      </c>
    </row>
    <row r="92" spans="1:7" x14ac:dyDescent="0.35">
      <c r="A92" s="1">
        <v>91</v>
      </c>
      <c r="B92" s="1" t="s">
        <v>21</v>
      </c>
      <c r="C92" s="1">
        <v>2017</v>
      </c>
      <c r="D92" s="9" t="e">
        <f>'ch receivable'!G92</f>
        <v>#DIV/0!</v>
      </c>
      <c r="E92" s="9">
        <f>'ch in cash sales'!J92</f>
        <v>0</v>
      </c>
      <c r="F92" s="30" t="e">
        <f>'Ch In earning'!H92</f>
        <v>#DIV/0!</v>
      </c>
      <c r="G92" s="9" t="e">
        <f t="shared" si="1"/>
        <v>#DIV/0!</v>
      </c>
    </row>
    <row r="93" spans="1:7" x14ac:dyDescent="0.35">
      <c r="A93" s="1">
        <v>92</v>
      </c>
      <c r="B93" s="1" t="s">
        <v>21</v>
      </c>
      <c r="C93" s="1">
        <v>2018</v>
      </c>
      <c r="D93" s="9">
        <f>'ch receivable'!G93</f>
        <v>2.9218619324110573E-2</v>
      </c>
      <c r="E93" s="9">
        <f>'ch in cash sales'!J93</f>
        <v>2.4221977439788892E-2</v>
      </c>
      <c r="F93" s="30">
        <f>'Ch In earning'!H93</f>
        <v>-1.0975312950555743E-2</v>
      </c>
      <c r="G93" s="9">
        <f t="shared" si="1"/>
        <v>4.2465283813343718E-2</v>
      </c>
    </row>
    <row r="94" spans="1:7" x14ac:dyDescent="0.35">
      <c r="A94" s="1">
        <v>93</v>
      </c>
      <c r="B94" s="1" t="s">
        <v>21</v>
      </c>
      <c r="C94" s="1">
        <v>2019</v>
      </c>
      <c r="D94" s="9">
        <f>'ch receivable'!G94</f>
        <v>2.8911153415904837E-2</v>
      </c>
      <c r="E94" s="9">
        <f>'ch in cash sales'!J94</f>
        <v>1.721414103161896E-2</v>
      </c>
      <c r="F94" s="30">
        <f>'Ch In earning'!H94</f>
        <v>1.4594882973401068E-2</v>
      </c>
      <c r="G94" s="9">
        <f t="shared" si="1"/>
        <v>6.0720177420924865E-2</v>
      </c>
    </row>
    <row r="95" spans="1:7" x14ac:dyDescent="0.35">
      <c r="A95" s="1">
        <v>94</v>
      </c>
      <c r="B95" s="1" t="s">
        <v>21</v>
      </c>
      <c r="C95" s="1">
        <v>2020</v>
      </c>
      <c r="D95" s="9">
        <f>'ch receivable'!G95</f>
        <v>-3.2089279196565505E-2</v>
      </c>
      <c r="E95" s="9">
        <f>'ch in cash sales'!J95</f>
        <v>2.1771872050361352E-2</v>
      </c>
      <c r="F95" s="30">
        <f>'Ch In earning'!H95</f>
        <v>-3.5746882397829666E-2</v>
      </c>
      <c r="G95" s="9">
        <f t="shared" si="1"/>
        <v>-4.6064289544033819E-2</v>
      </c>
    </row>
    <row r="96" spans="1:7" x14ac:dyDescent="0.35">
      <c r="A96" s="1">
        <v>95</v>
      </c>
      <c r="B96" s="1" t="s">
        <v>21</v>
      </c>
      <c r="C96" s="1">
        <v>2021</v>
      </c>
      <c r="D96" s="9">
        <f>'ch receivable'!G96</f>
        <v>-2.7525591368685338E-2</v>
      </c>
      <c r="E96" s="9">
        <f>'ch in cash sales'!J96</f>
        <v>0.12993169948652342</v>
      </c>
      <c r="F96" s="30">
        <f>'Ch In earning'!H96</f>
        <v>3.4353350542689126E-3</v>
      </c>
      <c r="G96" s="9">
        <f t="shared" si="1"/>
        <v>0.10584144317210699</v>
      </c>
    </row>
    <row r="97" spans="1:7" x14ac:dyDescent="0.35">
      <c r="A97" s="1">
        <v>96</v>
      </c>
      <c r="B97" s="1" t="s">
        <v>22</v>
      </c>
      <c r="C97" s="1">
        <v>2017</v>
      </c>
      <c r="D97" s="9" t="e">
        <f>'ch receivable'!G97</f>
        <v>#DIV/0!</v>
      </c>
      <c r="E97" s="9">
        <f>'ch in cash sales'!J97</f>
        <v>0</v>
      </c>
      <c r="F97" s="30" t="e">
        <f>'Ch In earning'!H97</f>
        <v>#DIV/0!</v>
      </c>
      <c r="G97" s="9" t="e">
        <f t="shared" si="1"/>
        <v>#DIV/0!</v>
      </c>
    </row>
    <row r="98" spans="1:7" x14ac:dyDescent="0.35">
      <c r="A98" s="1">
        <v>97</v>
      </c>
      <c r="B98" s="1" t="s">
        <v>22</v>
      </c>
      <c r="C98" s="1">
        <v>2018</v>
      </c>
      <c r="D98" s="9">
        <f>'ch receivable'!G98</f>
        <v>5.5656660193703765E-2</v>
      </c>
      <c r="E98" s="9">
        <f>'ch in cash sales'!J98</f>
        <v>0.11344110071870082</v>
      </c>
      <c r="F98" s="30">
        <f>'Ch In earning'!H98</f>
        <v>4.2473761546137426E-3</v>
      </c>
      <c r="G98" s="9">
        <f t="shared" si="1"/>
        <v>0.17334513706701832</v>
      </c>
    </row>
    <row r="99" spans="1:7" x14ac:dyDescent="0.35">
      <c r="A99" s="1">
        <v>98</v>
      </c>
      <c r="B99" s="1" t="s">
        <v>22</v>
      </c>
      <c r="C99" s="1">
        <v>2019</v>
      </c>
      <c r="D99" s="9">
        <f>'ch receivable'!G99</f>
        <v>-7.4419493619227025E-3</v>
      </c>
      <c r="E99" s="9">
        <f>'ch in cash sales'!J99</f>
        <v>1.9191825586286914E-2</v>
      </c>
      <c r="F99" s="30">
        <f>'Ch In earning'!H99</f>
        <v>2.3434514891027408E-3</v>
      </c>
      <c r="G99" s="9">
        <f t="shared" si="1"/>
        <v>1.4093327713466951E-2</v>
      </c>
    </row>
    <row r="100" spans="1:7" x14ac:dyDescent="0.35">
      <c r="A100" s="1">
        <v>99</v>
      </c>
      <c r="B100" s="1" t="s">
        <v>22</v>
      </c>
      <c r="C100" s="1">
        <v>2020</v>
      </c>
      <c r="D100" s="9">
        <f>'ch receivable'!G100</f>
        <v>-0.42645035674257936</v>
      </c>
      <c r="E100" s="9">
        <f>'ch in cash sales'!J100</f>
        <v>0.34138169941788371</v>
      </c>
      <c r="F100" s="30">
        <f>'Ch In earning'!H100</f>
        <v>-1.9862990279446199E-2</v>
      </c>
      <c r="G100" s="9">
        <f t="shared" si="1"/>
        <v>-0.10493164760414185</v>
      </c>
    </row>
    <row r="101" spans="1:7" x14ac:dyDescent="0.35">
      <c r="A101" s="1">
        <v>100</v>
      </c>
      <c r="B101" s="1" t="s">
        <v>22</v>
      </c>
      <c r="C101" s="1">
        <v>2021</v>
      </c>
      <c r="D101" s="9">
        <f>'ch receivable'!G101</f>
        <v>1.5006728456146584E-2</v>
      </c>
      <c r="E101" s="9">
        <f>'ch in cash sales'!J101</f>
        <v>-0.29126416348608919</v>
      </c>
      <c r="F101" s="30">
        <f>'Ch In earning'!H101</f>
        <v>1.2120111174538284E-2</v>
      </c>
      <c r="G101" s="9">
        <f t="shared" si="1"/>
        <v>-0.26413732385540434</v>
      </c>
    </row>
    <row r="102" spans="1:7" ht="15.5" x14ac:dyDescent="0.35">
      <c r="A102" s="1">
        <v>101</v>
      </c>
      <c r="B102" s="2" t="s">
        <v>78</v>
      </c>
      <c r="C102" s="25">
        <v>2017</v>
      </c>
      <c r="D102" s="9">
        <f>'ch receivable'!G102</f>
        <v>0</v>
      </c>
      <c r="E102" s="9">
        <f>'ch in cash sales'!J102</f>
        <v>0</v>
      </c>
      <c r="F102" s="30" t="e">
        <f>'Ch In earning'!H102</f>
        <v>#DIV/0!</v>
      </c>
      <c r="G102" s="9" t="e">
        <f t="shared" si="1"/>
        <v>#DIV/0!</v>
      </c>
    </row>
    <row r="103" spans="1:7" ht="15.5" x14ac:dyDescent="0.35">
      <c r="A103" s="1">
        <v>102</v>
      </c>
      <c r="B103" s="2"/>
      <c r="C103" s="25">
        <v>2018</v>
      </c>
      <c r="D103" s="9">
        <f>'ch receivable'!G103</f>
        <v>-3.4972874939885622E-2</v>
      </c>
      <c r="E103" s="9">
        <f>'ch in cash sales'!J103</f>
        <v>4.2795982146517489E-2</v>
      </c>
      <c r="F103" s="30">
        <f>'Ch In earning'!H103</f>
        <v>-6.8719558886866372E-4</v>
      </c>
      <c r="G103" s="9">
        <f t="shared" si="1"/>
        <v>7.1359116177632034E-3</v>
      </c>
    </row>
    <row r="104" spans="1:7" ht="15.5" x14ac:dyDescent="0.35">
      <c r="A104" s="1">
        <v>103</v>
      </c>
      <c r="B104" s="2"/>
      <c r="C104" s="25">
        <v>2019</v>
      </c>
      <c r="D104" s="9">
        <f>'ch receivable'!G104</f>
        <v>3.0966638756848269E-2</v>
      </c>
      <c r="E104" s="9">
        <f>'ch in cash sales'!J104</f>
        <v>-2.2023577821202442E-2</v>
      </c>
      <c r="F104" s="30">
        <f>'Ch In earning'!H104</f>
        <v>-1.5544199414301935E-2</v>
      </c>
      <c r="G104" s="9">
        <f t="shared" si="1"/>
        <v>-6.6011384786561073E-3</v>
      </c>
    </row>
    <row r="105" spans="1:7" ht="15.5" x14ac:dyDescent="0.35">
      <c r="A105" s="1">
        <v>104</v>
      </c>
      <c r="B105" s="2"/>
      <c r="C105" s="25">
        <v>2020</v>
      </c>
      <c r="D105" s="9">
        <f>'ch receivable'!G105</f>
        <v>-0.24519379497077456</v>
      </c>
      <c r="E105" s="9">
        <f>'ch in cash sales'!J105</f>
        <v>0.41696224961383077</v>
      </c>
      <c r="F105" s="30">
        <f>'Ch In earning'!H105</f>
        <v>4.6485652897514801E-4</v>
      </c>
      <c r="G105" s="9">
        <f t="shared" si="1"/>
        <v>0.17223331117203136</v>
      </c>
    </row>
    <row r="106" spans="1:7" ht="15.5" x14ac:dyDescent="0.35">
      <c r="A106" s="1">
        <v>105</v>
      </c>
      <c r="B106" s="2"/>
      <c r="C106" s="25">
        <v>2021</v>
      </c>
      <c r="D106" s="9">
        <f>'ch receivable'!G106</f>
        <v>-5.393794694369166E-2</v>
      </c>
      <c r="E106" s="9">
        <f>'ch in cash sales'!J106</f>
        <v>5.7044725183113133E-2</v>
      </c>
      <c r="F106" s="30">
        <f>'Ch In earning'!H106</f>
        <v>-3.6401795936735724E-3</v>
      </c>
      <c r="G106" s="9">
        <f t="shared" si="1"/>
        <v>-5.334013542520992E-4</v>
      </c>
    </row>
    <row r="107" spans="1:7" ht="15.5" x14ac:dyDescent="0.35">
      <c r="A107" s="1">
        <v>106</v>
      </c>
      <c r="B107" s="2" t="s">
        <v>79</v>
      </c>
      <c r="C107" s="25">
        <v>2017</v>
      </c>
      <c r="D107" s="9">
        <f>'ch receivable'!G107</f>
        <v>0</v>
      </c>
      <c r="E107" s="9">
        <f>'ch in cash sales'!J107</f>
        <v>0</v>
      </c>
      <c r="F107" s="30" t="e">
        <f>'Ch In earning'!H107</f>
        <v>#DIV/0!</v>
      </c>
      <c r="G107" s="9" t="e">
        <f t="shared" si="1"/>
        <v>#DIV/0!</v>
      </c>
    </row>
    <row r="108" spans="1:7" ht="15.5" x14ac:dyDescent="0.35">
      <c r="A108" s="1">
        <v>107</v>
      </c>
      <c r="B108" s="2"/>
      <c r="C108" s="25">
        <v>2018</v>
      </c>
      <c r="D108" s="9">
        <f>'ch receivable'!G108</f>
        <v>-6.0897686392591008E-2</v>
      </c>
      <c r="E108" s="9">
        <f>'ch in cash sales'!J108</f>
        <v>-5.9775291330390945E-2</v>
      </c>
      <c r="F108" s="30">
        <f>'Ch In earning'!H108</f>
        <v>9.90954415314633E-4</v>
      </c>
      <c r="G108" s="9">
        <f t="shared" si="1"/>
        <v>-0.11968202330766732</v>
      </c>
    </row>
    <row r="109" spans="1:7" ht="15.5" x14ac:dyDescent="0.35">
      <c r="A109" s="1">
        <v>108</v>
      </c>
      <c r="B109" s="2"/>
      <c r="C109" s="25">
        <v>2019</v>
      </c>
      <c r="D109" s="9">
        <f>'ch receivable'!G109</f>
        <v>3.5187496084581382E-2</v>
      </c>
      <c r="E109" s="9">
        <f>'ch in cash sales'!J109</f>
        <v>-0.2573855734738148</v>
      </c>
      <c r="F109" s="30">
        <f>'Ch In earning'!H109</f>
        <v>-7.751245659737881E-4</v>
      </c>
      <c r="G109" s="9">
        <f t="shared" si="1"/>
        <v>-0.2229732019552072</v>
      </c>
    </row>
    <row r="110" spans="1:7" ht="15.5" x14ac:dyDescent="0.35">
      <c r="A110" s="1">
        <v>109</v>
      </c>
      <c r="B110" s="2"/>
      <c r="C110" s="25">
        <v>2020</v>
      </c>
      <c r="D110" s="9">
        <f>'ch receivable'!G110</f>
        <v>-0.12885636987735141</v>
      </c>
      <c r="E110" s="9">
        <f>'ch in cash sales'!J110</f>
        <v>-0.56192854845841889</v>
      </c>
      <c r="F110" s="30">
        <f>'Ch In earning'!H110</f>
        <v>-4.4904258645875765E-2</v>
      </c>
      <c r="G110" s="9">
        <f t="shared" si="1"/>
        <v>-0.73568917698164604</v>
      </c>
    </row>
    <row r="111" spans="1:7" ht="15.5" x14ac:dyDescent="0.35">
      <c r="A111" s="1">
        <v>110</v>
      </c>
      <c r="B111" s="2"/>
      <c r="C111" s="25">
        <v>2021</v>
      </c>
      <c r="D111" s="9">
        <f>'ch receivable'!G111</f>
        <v>-2.9221021295994382E-2</v>
      </c>
      <c r="E111" s="9">
        <f>'ch in cash sales'!J111</f>
        <v>-0.56810246023198452</v>
      </c>
      <c r="F111" s="30">
        <f>'Ch In earning'!H111</f>
        <v>6.3649068373459808E-3</v>
      </c>
      <c r="G111" s="9">
        <f t="shared" si="1"/>
        <v>-0.59095857469063284</v>
      </c>
    </row>
    <row r="112" spans="1:7" ht="15.5" x14ac:dyDescent="0.35">
      <c r="A112" s="1">
        <v>111</v>
      </c>
      <c r="B112" s="2" t="s">
        <v>80</v>
      </c>
      <c r="C112" s="25">
        <v>2017</v>
      </c>
      <c r="D112" s="9">
        <f>'ch receivable'!G112</f>
        <v>0</v>
      </c>
      <c r="E112" s="9">
        <f>'ch in cash sales'!J112</f>
        <v>0</v>
      </c>
      <c r="F112" s="30" t="e">
        <f>'Ch In earning'!H112</f>
        <v>#DIV/0!</v>
      </c>
      <c r="G112" s="9" t="e">
        <f t="shared" si="1"/>
        <v>#DIV/0!</v>
      </c>
    </row>
    <row r="113" spans="1:7" ht="15.5" x14ac:dyDescent="0.35">
      <c r="A113" s="1">
        <v>112</v>
      </c>
      <c r="B113" s="2"/>
      <c r="C113" s="25">
        <v>2018</v>
      </c>
      <c r="D113" s="9">
        <f>'ch receivable'!G113</f>
        <v>3.5934415444844443E-2</v>
      </c>
      <c r="E113" s="9">
        <f>'ch in cash sales'!J113</f>
        <v>-8.634568683892499E-2</v>
      </c>
      <c r="F113" s="30">
        <f>'Ch In earning'!H113</f>
        <v>-1.8209934012904626E-3</v>
      </c>
      <c r="G113" s="9">
        <f t="shared" si="1"/>
        <v>-5.2232264795371006E-2</v>
      </c>
    </row>
    <row r="114" spans="1:7" ht="15.5" x14ac:dyDescent="0.35">
      <c r="A114" s="1">
        <v>113</v>
      </c>
      <c r="B114" s="2"/>
      <c r="C114" s="25">
        <v>2019</v>
      </c>
      <c r="D114" s="9">
        <f>'ch receivable'!G114</f>
        <v>4.0907644346466016E-2</v>
      </c>
      <c r="E114" s="9">
        <f>'ch in cash sales'!J114</f>
        <v>-4.2545070959552143E-2</v>
      </c>
      <c r="F114" s="30">
        <f>'Ch In earning'!H114</f>
        <v>-3.2705029593140811E-3</v>
      </c>
      <c r="G114" s="9">
        <f t="shared" si="1"/>
        <v>-4.9079295724002089E-3</v>
      </c>
    </row>
    <row r="115" spans="1:7" ht="15.5" x14ac:dyDescent="0.35">
      <c r="A115" s="1">
        <v>114</v>
      </c>
      <c r="B115" s="2"/>
      <c r="C115" s="25">
        <v>2020</v>
      </c>
      <c r="D115" s="9">
        <f>'ch receivable'!G115</f>
        <v>-5.327871089368523E-2</v>
      </c>
      <c r="E115" s="9">
        <f>'ch in cash sales'!J115</f>
        <v>0.23394761363225924</v>
      </c>
      <c r="F115" s="30">
        <f>'Ch In earning'!H115</f>
        <v>4.5714150268450354E-3</v>
      </c>
      <c r="G115" s="9">
        <f t="shared" si="1"/>
        <v>0.18524031776541905</v>
      </c>
    </row>
    <row r="116" spans="1:7" ht="15.5" x14ac:dyDescent="0.35">
      <c r="A116" s="1">
        <v>115</v>
      </c>
      <c r="B116" s="2"/>
      <c r="C116" s="25">
        <v>2021</v>
      </c>
      <c r="D116" s="9">
        <f>'ch receivable'!G116</f>
        <v>5.0749107267374603E-2</v>
      </c>
      <c r="E116" s="9">
        <f>'ch in cash sales'!J116</f>
        <v>3.0356745664382956E-2</v>
      </c>
      <c r="F116" s="30">
        <f>'Ch In earning'!H116</f>
        <v>1.3120775611325287E-2</v>
      </c>
      <c r="G116" s="9">
        <f t="shared" si="1"/>
        <v>9.4226628543082849E-2</v>
      </c>
    </row>
    <row r="117" spans="1:7" ht="15.5" x14ac:dyDescent="0.35">
      <c r="A117" s="1">
        <v>116</v>
      </c>
      <c r="B117" s="2" t="s">
        <v>81</v>
      </c>
      <c r="C117" s="25">
        <v>2017</v>
      </c>
      <c r="D117" s="9">
        <f>'ch receivable'!G117</f>
        <v>0</v>
      </c>
      <c r="E117" s="9">
        <f>'ch in cash sales'!J117</f>
        <v>0</v>
      </c>
      <c r="F117" s="30" t="e">
        <f>'Ch In earning'!H117</f>
        <v>#DIV/0!</v>
      </c>
      <c r="G117" s="9" t="e">
        <f t="shared" si="1"/>
        <v>#DIV/0!</v>
      </c>
    </row>
    <row r="118" spans="1:7" ht="15.5" x14ac:dyDescent="0.35">
      <c r="A118" s="1">
        <v>117</v>
      </c>
      <c r="B118" s="2"/>
      <c r="C118" s="25">
        <v>2018</v>
      </c>
      <c r="D118" s="9">
        <f>'ch receivable'!G118</f>
        <v>0.10519715215492191</v>
      </c>
      <c r="E118" s="9">
        <f>'ch in cash sales'!J118</f>
        <v>-5.8698477565711116E-2</v>
      </c>
      <c r="F118" s="30">
        <f>'Ch In earning'!H118</f>
        <v>-2.2766785753582514E-3</v>
      </c>
      <c r="G118" s="9">
        <f t="shared" si="1"/>
        <v>4.4221996013852544E-2</v>
      </c>
    </row>
    <row r="119" spans="1:7" ht="15.5" x14ac:dyDescent="0.35">
      <c r="A119" s="1">
        <v>118</v>
      </c>
      <c r="B119" s="2"/>
      <c r="C119" s="25">
        <v>2019</v>
      </c>
      <c r="D119" s="9">
        <f>'ch receivable'!G119</f>
        <v>4.7439707279865746E-2</v>
      </c>
      <c r="E119" s="9">
        <f>'ch in cash sales'!J119</f>
        <v>1.1464608634831952E-2</v>
      </c>
      <c r="F119" s="30">
        <f>'Ch In earning'!H119</f>
        <v>-2.4625194742277229E-3</v>
      </c>
      <c r="G119" s="9">
        <f t="shared" si="1"/>
        <v>5.6441796440469975E-2</v>
      </c>
    </row>
    <row r="120" spans="1:7" ht="15.5" x14ac:dyDescent="0.35">
      <c r="A120" s="1">
        <v>119</v>
      </c>
      <c r="B120" s="2"/>
      <c r="C120" s="25">
        <v>2020</v>
      </c>
      <c r="D120" s="9">
        <f>'ch receivable'!G120</f>
        <v>-1.7669556191176514E-3</v>
      </c>
      <c r="E120" s="9">
        <f>'ch in cash sales'!J120</f>
        <v>-1.1679513176414759E-2</v>
      </c>
      <c r="F120" s="30">
        <f>'Ch In earning'!H120</f>
        <v>-1.4301190609578265E-2</v>
      </c>
      <c r="G120" s="9">
        <f t="shared" si="1"/>
        <v>-2.7747659405110675E-2</v>
      </c>
    </row>
    <row r="121" spans="1:7" ht="15.5" x14ac:dyDescent="0.35">
      <c r="A121" s="1">
        <v>120</v>
      </c>
      <c r="B121" s="2"/>
      <c r="C121" s="25">
        <v>2021</v>
      </c>
      <c r="D121" s="9">
        <f>'ch receivable'!G121</f>
        <v>5.1150624835280753E-2</v>
      </c>
      <c r="E121" s="9">
        <f>'ch in cash sales'!J121</f>
        <v>0.21465041804099844</v>
      </c>
      <c r="F121" s="30">
        <f>'Ch In earning'!H121</f>
        <v>7.2744386217905022E-3</v>
      </c>
      <c r="G121" s="9">
        <f t="shared" si="1"/>
        <v>0.27307548149806971</v>
      </c>
    </row>
    <row r="122" spans="1:7" ht="15.5" x14ac:dyDescent="0.35">
      <c r="A122" s="1">
        <v>121</v>
      </c>
      <c r="B122" s="2" t="s">
        <v>82</v>
      </c>
      <c r="C122" s="25">
        <v>2017</v>
      </c>
      <c r="D122" s="9">
        <f>'ch receivable'!G122</f>
        <v>0</v>
      </c>
      <c r="E122" s="9">
        <f>'ch in cash sales'!J122</f>
        <v>0</v>
      </c>
      <c r="F122" s="30" t="e">
        <f>'Ch In earning'!H122</f>
        <v>#DIV/0!</v>
      </c>
      <c r="G122" s="9" t="e">
        <f t="shared" si="1"/>
        <v>#DIV/0!</v>
      </c>
    </row>
    <row r="123" spans="1:7" ht="15.5" x14ac:dyDescent="0.35">
      <c r="A123" s="1">
        <v>122</v>
      </c>
      <c r="B123" s="2"/>
      <c r="C123" s="25">
        <v>2018</v>
      </c>
      <c r="D123" s="9">
        <f>'ch receivable'!G123</f>
        <v>-2.2406964534319774E-2</v>
      </c>
      <c r="E123" s="9">
        <f>'ch in cash sales'!J123</f>
        <v>-5.2777480450567058E-2</v>
      </c>
      <c r="F123" s="30">
        <f>'Ch In earning'!H123</f>
        <v>-3.3074693618366992E-2</v>
      </c>
      <c r="G123" s="9">
        <f t="shared" si="1"/>
        <v>-0.10825913860325381</v>
      </c>
    </row>
    <row r="124" spans="1:7" ht="15.5" x14ac:dyDescent="0.35">
      <c r="A124" s="1">
        <v>123</v>
      </c>
      <c r="B124" s="2"/>
      <c r="C124" s="25">
        <v>2019</v>
      </c>
      <c r="D124" s="9">
        <f>'ch receivable'!G124</f>
        <v>-4.2966641273155057E-3</v>
      </c>
      <c r="E124" s="9">
        <f>'ch in cash sales'!J124</f>
        <v>0.25382565726059991</v>
      </c>
      <c r="F124" s="30">
        <f>'Ch In earning'!H124</f>
        <v>3.2701794508531959E-2</v>
      </c>
      <c r="G124" s="9">
        <f t="shared" si="1"/>
        <v>0.28223078764181636</v>
      </c>
    </row>
    <row r="125" spans="1:7" ht="15.5" x14ac:dyDescent="0.35">
      <c r="A125" s="1">
        <v>124</v>
      </c>
      <c r="B125" s="2"/>
      <c r="C125" s="25">
        <v>2020</v>
      </c>
      <c r="D125" s="9">
        <f>'ch receivable'!G125</f>
        <v>-1.863145794670101E-2</v>
      </c>
      <c r="E125" s="9">
        <f>'ch in cash sales'!J125</f>
        <v>-0.59978542797010925</v>
      </c>
      <c r="F125" s="30">
        <f>'Ch In earning'!H125</f>
        <v>-6.9651109779867576E-4</v>
      </c>
      <c r="G125" s="9">
        <f t="shared" si="1"/>
        <v>-0.61911339701460888</v>
      </c>
    </row>
    <row r="126" spans="1:7" ht="15.5" x14ac:dyDescent="0.35">
      <c r="A126" s="1">
        <v>125</v>
      </c>
      <c r="B126" s="2"/>
      <c r="C126" s="25">
        <v>2021</v>
      </c>
      <c r="D126" s="9">
        <f>'ch receivable'!G126</f>
        <v>7.3095025150895152E-2</v>
      </c>
      <c r="E126" s="9">
        <f>'ch in cash sales'!J126</f>
        <v>0.30144513146861202</v>
      </c>
      <c r="F126" s="30">
        <f>'Ch In earning'!H126</f>
        <v>-0.12119657315479732</v>
      </c>
      <c r="G126" s="9">
        <f t="shared" si="1"/>
        <v>0.25334358346470987</v>
      </c>
    </row>
    <row r="127" spans="1:7" ht="15.5" x14ac:dyDescent="0.35">
      <c r="A127" s="1">
        <v>126</v>
      </c>
      <c r="B127" s="2" t="s">
        <v>83</v>
      </c>
      <c r="C127" s="25">
        <v>2017</v>
      </c>
      <c r="D127" s="9">
        <f>'ch receivable'!G127</f>
        <v>0</v>
      </c>
      <c r="E127" s="9">
        <f>'ch in cash sales'!J127</f>
        <v>0</v>
      </c>
      <c r="F127" s="30" t="e">
        <f>'Ch In earning'!H127</f>
        <v>#DIV/0!</v>
      </c>
      <c r="G127" s="9" t="e">
        <f t="shared" si="1"/>
        <v>#DIV/0!</v>
      </c>
    </row>
    <row r="128" spans="1:7" ht="15.5" x14ac:dyDescent="0.35">
      <c r="A128" s="1">
        <v>127</v>
      </c>
      <c r="B128" s="2"/>
      <c r="C128" s="25">
        <v>2018</v>
      </c>
      <c r="D128" s="9">
        <f>'ch receivable'!G128</f>
        <v>8.5944301978969892E-2</v>
      </c>
      <c r="E128" s="9">
        <f>'ch in cash sales'!J128</f>
        <v>-6.0089989425555074E-2</v>
      </c>
      <c r="F128" s="30">
        <f>'Ch In earning'!H128</f>
        <v>-3.9762235475550751E-3</v>
      </c>
      <c r="G128" s="9">
        <f t="shared" si="1"/>
        <v>2.1878089005859743E-2</v>
      </c>
    </row>
    <row r="129" spans="1:7" ht="15.5" x14ac:dyDescent="0.35">
      <c r="A129" s="1">
        <v>128</v>
      </c>
      <c r="B129" s="2"/>
      <c r="C129" s="25">
        <v>2019</v>
      </c>
      <c r="D129" s="9">
        <f>'ch receivable'!G129</f>
        <v>0.16118525727181496</v>
      </c>
      <c r="E129" s="9">
        <f>'ch in cash sales'!J129</f>
        <v>-0.18507047175749314</v>
      </c>
      <c r="F129" s="30">
        <f>'Ch In earning'!H129</f>
        <v>-2.6735241122787102E-3</v>
      </c>
      <c r="G129" s="9">
        <f t="shared" si="1"/>
        <v>-2.6558738597956891E-2</v>
      </c>
    </row>
    <row r="130" spans="1:7" ht="15.5" x14ac:dyDescent="0.35">
      <c r="A130" s="1">
        <v>129</v>
      </c>
      <c r="B130" s="2"/>
      <c r="C130" s="25">
        <v>2020</v>
      </c>
      <c r="D130" s="9">
        <f>'ch receivable'!G130</f>
        <v>5.7367551832050445E-2</v>
      </c>
      <c r="E130" s="9">
        <f>'ch in cash sales'!J130</f>
        <v>0.15987132693975897</v>
      </c>
      <c r="F130" s="30">
        <f>'Ch In earning'!H130</f>
        <v>1.9975766067764447E-3</v>
      </c>
      <c r="G130" s="9">
        <f t="shared" si="1"/>
        <v>0.21923645537858585</v>
      </c>
    </row>
    <row r="131" spans="1:7" ht="15.5" x14ac:dyDescent="0.35">
      <c r="A131" s="1">
        <v>130</v>
      </c>
      <c r="B131" s="2"/>
      <c r="C131" s="25">
        <v>2021</v>
      </c>
      <c r="D131" s="9">
        <f>'ch receivable'!G131</f>
        <v>6.6838217407469758E-2</v>
      </c>
      <c r="E131" s="9">
        <f>'ch in cash sales'!J131</f>
        <v>2.1994745684680017E-3</v>
      </c>
      <c r="F131" s="30">
        <f>'Ch In earning'!H131</f>
        <v>9.3344704057911343E-5</v>
      </c>
      <c r="G131" s="9">
        <f t="shared" ref="G131:G176" si="2">D131+E131+F131</f>
        <v>6.9131036679995678E-2</v>
      </c>
    </row>
    <row r="132" spans="1:7" ht="15.5" x14ac:dyDescent="0.35">
      <c r="A132" s="1">
        <v>131</v>
      </c>
      <c r="B132" s="2" t="s">
        <v>84</v>
      </c>
      <c r="C132" s="25">
        <v>2017</v>
      </c>
      <c r="D132" s="9">
        <f>'ch receivable'!G132</f>
        <v>0</v>
      </c>
      <c r="E132" s="9">
        <f>'ch in cash sales'!J132</f>
        <v>0</v>
      </c>
      <c r="F132" s="30" t="e">
        <f>'Ch In earning'!H132</f>
        <v>#DIV/0!</v>
      </c>
      <c r="G132" s="9" t="e">
        <f t="shared" si="2"/>
        <v>#DIV/0!</v>
      </c>
    </row>
    <row r="133" spans="1:7" ht="15.5" x14ac:dyDescent="0.35">
      <c r="A133" s="1">
        <v>132</v>
      </c>
      <c r="B133" s="2"/>
      <c r="C133" s="25">
        <v>2018</v>
      </c>
      <c r="D133" s="9">
        <f>'ch receivable'!G133</f>
        <v>4.0764712368471762E-2</v>
      </c>
      <c r="E133" s="9">
        <f>'ch in cash sales'!J133</f>
        <v>-1.1308918939187423E-2</v>
      </c>
      <c r="F133" s="30">
        <f>'Ch In earning'!H133</f>
        <v>-1.2554916659391534E-2</v>
      </c>
      <c r="G133" s="9">
        <f t="shared" si="2"/>
        <v>1.6900876769892804E-2</v>
      </c>
    </row>
    <row r="134" spans="1:7" ht="15.5" x14ac:dyDescent="0.35">
      <c r="A134" s="1">
        <v>133</v>
      </c>
      <c r="B134" s="2"/>
      <c r="C134" s="25">
        <v>2019</v>
      </c>
      <c r="D134" s="9">
        <f>'ch receivable'!G134</f>
        <v>0.15148857763579218</v>
      </c>
      <c r="E134" s="9">
        <f>'ch in cash sales'!J134</f>
        <v>-0.16071875619152898</v>
      </c>
      <c r="F134" s="30">
        <f>'Ch In earning'!H134</f>
        <v>4.6659237289093762E-3</v>
      </c>
      <c r="G134" s="9">
        <f t="shared" si="2"/>
        <v>-4.5642548268274193E-3</v>
      </c>
    </row>
    <row r="135" spans="1:7" ht="15.5" x14ac:dyDescent="0.35">
      <c r="A135" s="1">
        <v>134</v>
      </c>
      <c r="B135" s="2"/>
      <c r="C135" s="25">
        <v>2020</v>
      </c>
      <c r="D135" s="9">
        <f>'ch receivable'!G135</f>
        <v>0.11772439557809748</v>
      </c>
      <c r="E135" s="9">
        <f>'ch in cash sales'!J135</f>
        <v>-0.17875493598850842</v>
      </c>
      <c r="F135" s="30">
        <f>'Ch In earning'!H135</f>
        <v>-7.9384398164885073E-3</v>
      </c>
      <c r="G135" s="9">
        <f t="shared" si="2"/>
        <v>-6.8968980226899443E-2</v>
      </c>
    </row>
    <row r="136" spans="1:7" ht="15.5" x14ac:dyDescent="0.35">
      <c r="A136" s="1">
        <v>135</v>
      </c>
      <c r="B136" s="2"/>
      <c r="C136" s="25">
        <v>2021</v>
      </c>
      <c r="D136" s="9">
        <f>'ch receivable'!G136</f>
        <v>-8.8554321589873808E-2</v>
      </c>
      <c r="E136" s="9">
        <f>'ch in cash sales'!J136</f>
        <v>0.36710606428809545</v>
      </c>
      <c r="F136" s="30">
        <f>'Ch In earning'!H136</f>
        <v>2.2278249746671419E-3</v>
      </c>
      <c r="G136" s="9">
        <f t="shared" si="2"/>
        <v>0.28077956767288881</v>
      </c>
    </row>
    <row r="137" spans="1:7" ht="15.5" x14ac:dyDescent="0.35">
      <c r="A137" s="1">
        <v>136</v>
      </c>
      <c r="B137" s="2" t="s">
        <v>85</v>
      </c>
      <c r="C137" s="25">
        <v>2017</v>
      </c>
      <c r="D137" s="9">
        <f>'ch receivable'!G137</f>
        <v>0</v>
      </c>
      <c r="E137" s="9">
        <f>'ch in cash sales'!J137</f>
        <v>0</v>
      </c>
      <c r="F137" s="30" t="e">
        <f>'Ch In earning'!H137</f>
        <v>#DIV/0!</v>
      </c>
      <c r="G137" s="9" t="e">
        <f t="shared" si="2"/>
        <v>#DIV/0!</v>
      </c>
    </row>
    <row r="138" spans="1:7" ht="15.5" x14ac:dyDescent="0.35">
      <c r="A138" s="1">
        <v>137</v>
      </c>
      <c r="B138" s="2"/>
      <c r="C138" s="25">
        <v>2018</v>
      </c>
      <c r="D138" s="9">
        <f>'ch receivable'!G138</f>
        <v>8.0778743174419868E-2</v>
      </c>
      <c r="E138" s="9">
        <f>'ch in cash sales'!J138</f>
        <v>-6.3488714338561292E-2</v>
      </c>
      <c r="F138" s="30">
        <f>'Ch In earning'!H138</f>
        <v>4.0242383914219602E-3</v>
      </c>
      <c r="G138" s="9">
        <f t="shared" si="2"/>
        <v>2.1314267227280536E-2</v>
      </c>
    </row>
    <row r="139" spans="1:7" ht="15.5" x14ac:dyDescent="0.35">
      <c r="A139" s="1">
        <v>138</v>
      </c>
      <c r="B139" s="2"/>
      <c r="C139" s="25">
        <v>2019</v>
      </c>
      <c r="D139" s="9">
        <f>'ch receivable'!G139</f>
        <v>7.1340574519358296E-2</v>
      </c>
      <c r="E139" s="9">
        <f>'ch in cash sales'!J139</f>
        <v>-3.4098201057010238E-2</v>
      </c>
      <c r="F139" s="30">
        <f>'Ch In earning'!H139</f>
        <v>-2.2574012669744278E-4</v>
      </c>
      <c r="G139" s="9">
        <f t="shared" si="2"/>
        <v>3.7016633335650612E-2</v>
      </c>
    </row>
    <row r="140" spans="1:7" ht="15.5" x14ac:dyDescent="0.35">
      <c r="A140" s="1">
        <v>139</v>
      </c>
      <c r="B140" s="2"/>
      <c r="C140" s="25">
        <v>2020</v>
      </c>
      <c r="D140" s="9">
        <f>'ch receivable'!G140</f>
        <v>-3.1206827259482334E-3</v>
      </c>
      <c r="E140" s="9">
        <f>'ch in cash sales'!J140</f>
        <v>-5.0898880404146994E-2</v>
      </c>
      <c r="F140" s="30">
        <f>'Ch In earning'!H140</f>
        <v>-1.1957109848919331E-2</v>
      </c>
      <c r="G140" s="9">
        <f t="shared" si="2"/>
        <v>-6.597667297901455E-2</v>
      </c>
    </row>
    <row r="141" spans="1:7" ht="15.5" x14ac:dyDescent="0.35">
      <c r="A141" s="1">
        <v>140</v>
      </c>
      <c r="B141" s="2"/>
      <c r="C141" s="25">
        <v>2021</v>
      </c>
      <c r="D141" s="9">
        <f>'ch receivable'!G141</f>
        <v>7.6431166066009512E-2</v>
      </c>
      <c r="E141" s="9">
        <f>'ch in cash sales'!J141</f>
        <v>0.10812138455299086</v>
      </c>
      <c r="F141" s="30">
        <f>'Ch In earning'!H141</f>
        <v>7.3574267995432825E-3</v>
      </c>
      <c r="G141" s="9">
        <f t="shared" si="2"/>
        <v>0.19190997741854368</v>
      </c>
    </row>
    <row r="142" spans="1:7" ht="15.5" x14ac:dyDescent="0.35">
      <c r="A142" s="1">
        <v>141</v>
      </c>
      <c r="B142" s="2" t="s">
        <v>86</v>
      </c>
      <c r="C142" s="25">
        <v>2017</v>
      </c>
      <c r="D142" s="9">
        <f>'ch receivable'!G142</f>
        <v>0</v>
      </c>
      <c r="E142" s="9">
        <f>'ch in cash sales'!J142</f>
        <v>0</v>
      </c>
      <c r="F142" s="30" t="e">
        <f>'Ch In earning'!H142</f>
        <v>#DIV/0!</v>
      </c>
      <c r="G142" s="9" t="e">
        <f t="shared" si="2"/>
        <v>#DIV/0!</v>
      </c>
    </row>
    <row r="143" spans="1:7" ht="15.5" x14ac:dyDescent="0.35">
      <c r="A143" s="1">
        <v>142</v>
      </c>
      <c r="B143" s="2"/>
      <c r="C143" s="25">
        <v>2018</v>
      </c>
      <c r="D143" s="9">
        <f>'ch receivable'!G143</f>
        <v>3.4982133126223877E-2</v>
      </c>
      <c r="E143" s="9">
        <f>'ch in cash sales'!J143</f>
        <v>-6.8378822903396211E-2</v>
      </c>
      <c r="F143" s="30">
        <f>'Ch In earning'!H143</f>
        <v>3.6589057490232432E-4</v>
      </c>
      <c r="G143" s="9">
        <f t="shared" si="2"/>
        <v>-3.3030799202270006E-2</v>
      </c>
    </row>
    <row r="144" spans="1:7" ht="15.5" x14ac:dyDescent="0.35">
      <c r="A144" s="1">
        <v>143</v>
      </c>
      <c r="B144" s="2"/>
      <c r="C144" s="25">
        <v>2019</v>
      </c>
      <c r="D144" s="9">
        <f>'ch receivable'!G144</f>
        <v>5.2724536236011192E-2</v>
      </c>
      <c r="E144" s="9">
        <f>'ch in cash sales'!J144</f>
        <v>-0.18237680457379984</v>
      </c>
      <c r="F144" s="30">
        <f>'Ch In earning'!H144</f>
        <v>-8.1765626724354442E-3</v>
      </c>
      <c r="G144" s="9">
        <f t="shared" si="2"/>
        <v>-0.13782883101022408</v>
      </c>
    </row>
    <row r="145" spans="1:7" ht="15.5" x14ac:dyDescent="0.35">
      <c r="A145" s="1">
        <v>144</v>
      </c>
      <c r="B145" s="2"/>
      <c r="C145" s="25">
        <v>2020</v>
      </c>
      <c r="D145" s="9">
        <f>'ch receivable'!G145</f>
        <v>-8.0465851710120592E-2</v>
      </c>
      <c r="E145" s="9">
        <f>'ch in cash sales'!J145</f>
        <v>5.0729455583406136E-2</v>
      </c>
      <c r="F145" s="30">
        <f>'Ch In earning'!H145</f>
        <v>-2.4892669694759869E-3</v>
      </c>
      <c r="G145" s="9">
        <f t="shared" si="2"/>
        <v>-3.2225663096190446E-2</v>
      </c>
    </row>
    <row r="146" spans="1:7" ht="15.5" x14ac:dyDescent="0.35">
      <c r="A146" s="1">
        <v>145</v>
      </c>
      <c r="B146" s="2"/>
      <c r="C146" s="25">
        <v>2021</v>
      </c>
      <c r="D146" s="9">
        <f>'ch receivable'!G146</f>
        <v>-7.5561624692343607E-2</v>
      </c>
      <c r="E146" s="9">
        <f>'ch in cash sales'!J146</f>
        <v>0.16060290955490489</v>
      </c>
      <c r="F146" s="30">
        <f>'Ch In earning'!H146</f>
        <v>2.3153418902259991E-4</v>
      </c>
      <c r="G146" s="9">
        <f t="shared" si="2"/>
        <v>8.5272819051583876E-2</v>
      </c>
    </row>
    <row r="147" spans="1:7" ht="15.5" x14ac:dyDescent="0.35">
      <c r="A147" s="1">
        <v>146</v>
      </c>
      <c r="B147" s="2" t="s">
        <v>87</v>
      </c>
      <c r="C147" s="25">
        <v>2017</v>
      </c>
      <c r="D147" s="9">
        <f>'ch receivable'!G147</f>
        <v>0</v>
      </c>
      <c r="E147" s="9">
        <f>'ch in cash sales'!J147</f>
        <v>0</v>
      </c>
      <c r="F147" s="30" t="e">
        <f>'Ch In earning'!H147</f>
        <v>#DIV/0!</v>
      </c>
      <c r="G147" s="9" t="e">
        <f t="shared" si="2"/>
        <v>#DIV/0!</v>
      </c>
    </row>
    <row r="148" spans="1:7" ht="15.5" x14ac:dyDescent="0.35">
      <c r="A148" s="1">
        <v>147</v>
      </c>
      <c r="B148" s="2"/>
      <c r="C148" s="25">
        <v>2018</v>
      </c>
      <c r="D148" s="9">
        <f>'ch receivable'!G148</f>
        <v>0.23226993510446797</v>
      </c>
      <c r="E148" s="9">
        <f>'ch in cash sales'!J148</f>
        <v>-7.3068655101817453E-2</v>
      </c>
      <c r="F148" s="30">
        <f>'Ch In earning'!H148</f>
        <v>7.7925704954879237E-4</v>
      </c>
      <c r="G148" s="9">
        <f t="shared" si="2"/>
        <v>0.15998053705219931</v>
      </c>
    </row>
    <row r="149" spans="1:7" ht="15.5" x14ac:dyDescent="0.35">
      <c r="A149" s="1">
        <v>148</v>
      </c>
      <c r="B149" s="2"/>
      <c r="C149" s="25">
        <v>2019</v>
      </c>
      <c r="D149" s="9">
        <f>'ch receivable'!G149</f>
        <v>0.12915161514776874</v>
      </c>
      <c r="E149" s="9">
        <f>'ch in cash sales'!J149</f>
        <v>-0.12350554066825556</v>
      </c>
      <c r="F149" s="30">
        <f>'Ch In earning'!H149</f>
        <v>-1.1814244422777693E-2</v>
      </c>
      <c r="G149" s="9">
        <f t="shared" si="2"/>
        <v>-6.1681699432645128E-3</v>
      </c>
    </row>
    <row r="150" spans="1:7" ht="15.5" x14ac:dyDescent="0.35">
      <c r="A150" s="1">
        <v>149</v>
      </c>
      <c r="B150" s="2"/>
      <c r="C150" s="25">
        <v>2020</v>
      </c>
      <c r="D150" s="9">
        <f>'ch receivable'!G150</f>
        <v>-8.4992108517806546E-4</v>
      </c>
      <c r="E150" s="9">
        <f>'ch in cash sales'!J150</f>
        <v>-0.10088327437176524</v>
      </c>
      <c r="F150" s="30">
        <f>'Ch In earning'!H150</f>
        <v>-6.1908643114883064E-4</v>
      </c>
      <c r="G150" s="9">
        <f t="shared" si="2"/>
        <v>-0.10235228188809213</v>
      </c>
    </row>
    <row r="151" spans="1:7" ht="15.5" x14ac:dyDescent="0.35">
      <c r="A151" s="1">
        <v>150</v>
      </c>
      <c r="B151" s="2"/>
      <c r="C151" s="25">
        <v>2021</v>
      </c>
      <c r="D151" s="9">
        <f>'ch receivable'!G151</f>
        <v>-0.38696576568850927</v>
      </c>
      <c r="E151" s="9">
        <f>'ch in cash sales'!J151</f>
        <v>1.1767562331457078</v>
      </c>
      <c r="F151" s="30">
        <f>'Ch In earning'!H151</f>
        <v>-0.14951811222880146</v>
      </c>
      <c r="G151" s="9">
        <f t="shared" si="2"/>
        <v>0.64027235522839709</v>
      </c>
    </row>
    <row r="152" spans="1:7" ht="15.5" x14ac:dyDescent="0.35">
      <c r="A152" s="1">
        <v>151</v>
      </c>
      <c r="B152" s="2" t="s">
        <v>88</v>
      </c>
      <c r="C152" s="25">
        <v>2017</v>
      </c>
      <c r="D152" s="9">
        <f>'ch receivable'!G152</f>
        <v>0</v>
      </c>
      <c r="E152" s="9">
        <f>'ch in cash sales'!J152</f>
        <v>0</v>
      </c>
      <c r="F152" s="30" t="e">
        <f>'Ch In earning'!H152</f>
        <v>#DIV/0!</v>
      </c>
      <c r="G152" s="9" t="e">
        <f t="shared" si="2"/>
        <v>#DIV/0!</v>
      </c>
    </row>
    <row r="153" spans="1:7" ht="15.5" x14ac:dyDescent="0.35">
      <c r="A153" s="1">
        <v>152</v>
      </c>
      <c r="B153" s="2"/>
      <c r="C153" s="25">
        <v>2018</v>
      </c>
      <c r="D153" s="9">
        <f>'ch receivable'!G153</f>
        <v>2.9657144184029451E-2</v>
      </c>
      <c r="E153" s="9">
        <f>'ch in cash sales'!J153</f>
        <v>7.4685308756721372E-2</v>
      </c>
      <c r="F153" s="30">
        <f>'Ch In earning'!H153</f>
        <v>-1.0748800476518853E-2</v>
      </c>
      <c r="G153" s="9">
        <f t="shared" si="2"/>
        <v>9.3593652464231972E-2</v>
      </c>
    </row>
    <row r="154" spans="1:7" ht="15.5" x14ac:dyDescent="0.35">
      <c r="A154" s="1">
        <v>153</v>
      </c>
      <c r="B154" s="2"/>
      <c r="C154" s="25">
        <v>2019</v>
      </c>
      <c r="D154" s="9">
        <f>'ch receivable'!G154</f>
        <v>7.2524430791579372E-2</v>
      </c>
      <c r="E154" s="9">
        <f>'ch in cash sales'!J154</f>
        <v>0.11359557825506646</v>
      </c>
      <c r="F154" s="30">
        <f>'Ch In earning'!H154</f>
        <v>-4.7725618074344941E-5</v>
      </c>
      <c r="G154" s="9">
        <f t="shared" si="2"/>
        <v>0.18607228342857149</v>
      </c>
    </row>
    <row r="155" spans="1:7" ht="15.5" x14ac:dyDescent="0.35">
      <c r="A155" s="1">
        <v>154</v>
      </c>
      <c r="B155" s="2"/>
      <c r="C155" s="25">
        <v>2020</v>
      </c>
      <c r="D155" s="9">
        <f>'ch receivable'!G155</f>
        <v>-7.0618392755367729E-2</v>
      </c>
      <c r="E155" s="9">
        <f>'ch in cash sales'!J155</f>
        <v>8.7411568271419007E-2</v>
      </c>
      <c r="F155" s="30">
        <f>'Ch In earning'!H155</f>
        <v>4.3955586090501774E-4</v>
      </c>
      <c r="G155" s="9">
        <f t="shared" si="2"/>
        <v>1.7232731376956297E-2</v>
      </c>
    </row>
    <row r="156" spans="1:7" ht="15.5" x14ac:dyDescent="0.35">
      <c r="A156" s="1">
        <v>155</v>
      </c>
      <c r="B156" s="2"/>
      <c r="C156" s="25">
        <v>2021</v>
      </c>
      <c r="D156" s="9">
        <f>'ch receivable'!G156</f>
        <v>-5.1010225120142375E-2</v>
      </c>
      <c r="E156" s="9">
        <f>'ch in cash sales'!J156</f>
        <v>9.5845281822485834E-2</v>
      </c>
      <c r="F156" s="30">
        <f>'Ch In earning'!H156</f>
        <v>4.2020463708412805E-4</v>
      </c>
      <c r="G156" s="9">
        <f t="shared" si="2"/>
        <v>4.5255261339427588E-2</v>
      </c>
    </row>
    <row r="157" spans="1:7" ht="15.5" x14ac:dyDescent="0.35">
      <c r="A157" s="1">
        <v>156</v>
      </c>
      <c r="B157" s="2" t="s">
        <v>89</v>
      </c>
      <c r="C157" s="25">
        <v>2017</v>
      </c>
      <c r="D157" s="9">
        <f>'ch receivable'!G157</f>
        <v>0</v>
      </c>
      <c r="E157" s="9">
        <f>'ch in cash sales'!J157</f>
        <v>0</v>
      </c>
      <c r="F157" s="30" t="e">
        <f>'Ch In earning'!H157</f>
        <v>#DIV/0!</v>
      </c>
      <c r="G157" s="9" t="e">
        <f t="shared" si="2"/>
        <v>#DIV/0!</v>
      </c>
    </row>
    <row r="158" spans="1:7" ht="15.5" x14ac:dyDescent="0.35">
      <c r="A158" s="1">
        <v>157</v>
      </c>
      <c r="B158" s="2"/>
      <c r="C158" s="25">
        <v>2018</v>
      </c>
      <c r="D158" s="9">
        <f>'ch receivable'!G158</f>
        <v>-0.11201071673425213</v>
      </c>
      <c r="E158" s="9">
        <f>'ch in cash sales'!J158</f>
        <v>0.19613337532555103</v>
      </c>
      <c r="F158" s="30">
        <f>'Ch In earning'!H158</f>
        <v>-4.56769977651809E-4</v>
      </c>
      <c r="G158" s="9">
        <f t="shared" si="2"/>
        <v>8.3665888613647099E-2</v>
      </c>
    </row>
    <row r="159" spans="1:7" ht="15.5" x14ac:dyDescent="0.35">
      <c r="A159" s="1">
        <v>158</v>
      </c>
      <c r="B159" s="2"/>
      <c r="C159" s="25">
        <v>2019</v>
      </c>
      <c r="D159" s="9">
        <f>'ch receivable'!G159</f>
        <v>-6.1915779065628215E-2</v>
      </c>
      <c r="E159" s="9">
        <f>'ch in cash sales'!J159</f>
        <v>-0.11333640843251619</v>
      </c>
      <c r="F159" s="30">
        <f>'Ch In earning'!H159</f>
        <v>-5.7272082976446165E-3</v>
      </c>
      <c r="G159" s="9">
        <f t="shared" si="2"/>
        <v>-0.18097939579578903</v>
      </c>
    </row>
    <row r="160" spans="1:7" ht="15.5" x14ac:dyDescent="0.35">
      <c r="A160" s="1">
        <v>159</v>
      </c>
      <c r="B160" s="2"/>
      <c r="C160" s="25">
        <v>2020</v>
      </c>
      <c r="D160" s="9">
        <f>'ch receivable'!G160</f>
        <v>-4.3794961330566581E-2</v>
      </c>
      <c r="E160" s="9">
        <f>'ch in cash sales'!J160</f>
        <v>-0.28372866359920501</v>
      </c>
      <c r="F160" s="30">
        <f>'Ch In earning'!H160</f>
        <v>4.0466869853913639E-3</v>
      </c>
      <c r="G160" s="9">
        <f t="shared" si="2"/>
        <v>-0.32347693794438026</v>
      </c>
    </row>
    <row r="161" spans="1:7" ht="15.5" x14ac:dyDescent="0.35">
      <c r="A161" s="1">
        <v>160</v>
      </c>
      <c r="B161" s="2"/>
      <c r="C161" s="25">
        <v>2021</v>
      </c>
      <c r="D161" s="9">
        <f>'ch receivable'!G161</f>
        <v>-3.5149475900402766E-2</v>
      </c>
      <c r="E161" s="9">
        <f>'ch in cash sales'!J161</f>
        <v>0.39133711424654338</v>
      </c>
      <c r="F161" s="30">
        <f>'Ch In earning'!H161</f>
        <v>-8.2678035498792955E-3</v>
      </c>
      <c r="G161" s="9">
        <f t="shared" si="2"/>
        <v>0.34791983479626137</v>
      </c>
    </row>
    <row r="162" spans="1:7" ht="15.5" x14ac:dyDescent="0.35">
      <c r="A162" s="1">
        <v>166</v>
      </c>
      <c r="B162" s="2" t="s">
        <v>90</v>
      </c>
      <c r="C162" s="25">
        <v>2017</v>
      </c>
      <c r="D162" s="9">
        <f>'ch receivable'!G162</f>
        <v>0</v>
      </c>
      <c r="E162" s="9">
        <f>'ch in cash sales'!J162</f>
        <v>0</v>
      </c>
      <c r="F162" s="30" t="e">
        <f>'Ch In earning'!H162</f>
        <v>#DIV/0!</v>
      </c>
      <c r="G162" s="9" t="e">
        <f t="shared" si="2"/>
        <v>#DIV/0!</v>
      </c>
    </row>
    <row r="163" spans="1:7" ht="15.5" x14ac:dyDescent="0.35">
      <c r="A163" s="1">
        <v>167</v>
      </c>
      <c r="B163" s="2"/>
      <c r="C163" s="25">
        <v>2018</v>
      </c>
      <c r="D163" s="9">
        <f>'ch receivable'!G163</f>
        <v>8.8423908915819027E-2</v>
      </c>
      <c r="E163" s="9">
        <f>'ch in cash sales'!J163</f>
        <v>-0.20008493477485151</v>
      </c>
      <c r="F163" s="30">
        <f>'Ch In earning'!H163</f>
        <v>2.5303730763315997E-3</v>
      </c>
      <c r="G163" s="9">
        <f t="shared" si="2"/>
        <v>-0.10913065278270088</v>
      </c>
    </row>
    <row r="164" spans="1:7" ht="15.5" x14ac:dyDescent="0.35">
      <c r="A164" s="1">
        <v>168</v>
      </c>
      <c r="B164" s="2"/>
      <c r="C164" s="25">
        <v>2019</v>
      </c>
      <c r="D164" s="9">
        <f>'ch receivable'!G164</f>
        <v>0.1168504494741731</v>
      </c>
      <c r="E164" s="9">
        <f>'ch in cash sales'!J164</f>
        <v>-0.13912869169905259</v>
      </c>
      <c r="F164" s="30">
        <f>'Ch In earning'!H164</f>
        <v>3.0695851108205087E-3</v>
      </c>
      <c r="G164" s="9">
        <f t="shared" si="2"/>
        <v>-1.9208657114058985E-2</v>
      </c>
    </row>
    <row r="165" spans="1:7" ht="15.5" x14ac:dyDescent="0.35">
      <c r="A165" s="1">
        <v>169</v>
      </c>
      <c r="B165" s="2"/>
      <c r="C165" s="25">
        <v>2020</v>
      </c>
      <c r="D165" s="9">
        <f>'ch receivable'!G165</f>
        <v>-4.41158683225812E-2</v>
      </c>
      <c r="E165" s="9">
        <f>'ch in cash sales'!J165</f>
        <v>0.2327797079884216</v>
      </c>
      <c r="F165" s="30">
        <f>'Ch In earning'!H165</f>
        <v>7.700308451505454E-3</v>
      </c>
      <c r="G165" s="9">
        <f t="shared" si="2"/>
        <v>0.19636414811734584</v>
      </c>
    </row>
    <row r="166" spans="1:7" ht="15.5" x14ac:dyDescent="0.35">
      <c r="A166" s="1">
        <v>170</v>
      </c>
      <c r="B166" s="2"/>
      <c r="C166" s="25">
        <v>2021</v>
      </c>
      <c r="D166" s="9">
        <f>'ch receivable'!G166</f>
        <v>9.749491928300924E-2</v>
      </c>
      <c r="E166" s="9">
        <f>'ch in cash sales'!J166</f>
        <v>-5.2820249787974227E-2</v>
      </c>
      <c r="F166" s="30">
        <f>'Ch In earning'!H166</f>
        <v>5.533919386778427E-3</v>
      </c>
      <c r="G166" s="9">
        <f t="shared" si="2"/>
        <v>5.020858888181344E-2</v>
      </c>
    </row>
    <row r="167" spans="1:7" ht="15.5" x14ac:dyDescent="0.35">
      <c r="A167" s="1">
        <v>171</v>
      </c>
      <c r="B167" s="2" t="s">
        <v>91</v>
      </c>
      <c r="C167" s="25">
        <v>2017</v>
      </c>
      <c r="D167" s="9">
        <f>'ch receivable'!G167</f>
        <v>0</v>
      </c>
      <c r="E167" s="9">
        <f>'ch in cash sales'!J167</f>
        <v>0</v>
      </c>
      <c r="F167" s="30" t="e">
        <f>'Ch In earning'!H167</f>
        <v>#DIV/0!</v>
      </c>
      <c r="G167" s="9" t="e">
        <f t="shared" si="2"/>
        <v>#DIV/0!</v>
      </c>
    </row>
    <row r="168" spans="1:7" ht="15.5" x14ac:dyDescent="0.35">
      <c r="A168" s="1">
        <v>172</v>
      </c>
      <c r="B168" s="2"/>
      <c r="C168" s="25">
        <v>2018</v>
      </c>
      <c r="D168" s="9">
        <f>'ch receivable'!G168</f>
        <v>-0.18881484782120689</v>
      </c>
      <c r="E168" s="9">
        <f>'ch in cash sales'!J168</f>
        <v>0.36586319411928969</v>
      </c>
      <c r="F168" s="30">
        <f>'Ch In earning'!H168</f>
        <v>8.378139675895898E-4</v>
      </c>
      <c r="G168" s="9">
        <f t="shared" si="2"/>
        <v>0.17788616026567239</v>
      </c>
    </row>
    <row r="169" spans="1:7" ht="15.5" x14ac:dyDescent="0.35">
      <c r="A169" s="1">
        <v>173</v>
      </c>
      <c r="B169" s="2"/>
      <c r="C169" s="25">
        <v>2019</v>
      </c>
      <c r="D169" s="9">
        <f>'ch receivable'!G169</f>
        <v>0.10314059198145971</v>
      </c>
      <c r="E169" s="9">
        <f>'ch in cash sales'!J169</f>
        <v>0.18485413115885108</v>
      </c>
      <c r="F169" s="30">
        <f>'Ch In earning'!H169</f>
        <v>2.3226719746714728E-2</v>
      </c>
      <c r="G169" s="9">
        <f t="shared" si="2"/>
        <v>0.31122144288702552</v>
      </c>
    </row>
    <row r="170" spans="1:7" ht="15.5" x14ac:dyDescent="0.35">
      <c r="A170" s="1">
        <v>174</v>
      </c>
      <c r="B170" s="2"/>
      <c r="C170" s="25">
        <v>2020</v>
      </c>
      <c r="D170" s="9">
        <f>'ch receivable'!G170</f>
        <v>-0.15147970213864764</v>
      </c>
      <c r="E170" s="9">
        <f>'ch in cash sales'!J170</f>
        <v>0.18875968842307847</v>
      </c>
      <c r="F170" s="30">
        <f>'Ch In earning'!H170</f>
        <v>-1.3328104635616247E-2</v>
      </c>
      <c r="G170" s="9">
        <f t="shared" si="2"/>
        <v>2.395188164881458E-2</v>
      </c>
    </row>
    <row r="171" spans="1:7" ht="15.5" x14ac:dyDescent="0.35">
      <c r="A171" s="1">
        <v>175</v>
      </c>
      <c r="B171" s="2"/>
      <c r="C171" s="25">
        <v>2021</v>
      </c>
      <c r="D171" s="9">
        <f>'ch receivable'!G171</f>
        <v>-0.41691222723859894</v>
      </c>
      <c r="E171" s="9">
        <f>'ch in cash sales'!J171</f>
        <v>1.0993309126188837</v>
      </c>
      <c r="F171" s="30">
        <f>'Ch In earning'!H171</f>
        <v>1.1376335008425977E-2</v>
      </c>
      <c r="G171" s="9">
        <f t="shared" si="2"/>
        <v>0.69379502038871066</v>
      </c>
    </row>
    <row r="172" spans="1:7" ht="15.5" x14ac:dyDescent="0.35">
      <c r="A172" s="1">
        <v>176</v>
      </c>
      <c r="B172" s="2" t="s">
        <v>92</v>
      </c>
      <c r="C172" s="25">
        <v>2017</v>
      </c>
      <c r="D172" s="9">
        <f>'ch receivable'!G172</f>
        <v>0</v>
      </c>
      <c r="E172" s="9">
        <f>'ch in cash sales'!J172</f>
        <v>0</v>
      </c>
      <c r="F172" s="30" t="e">
        <f>'Ch In earning'!H172</f>
        <v>#DIV/0!</v>
      </c>
      <c r="G172" s="9" t="e">
        <f t="shared" si="2"/>
        <v>#DIV/0!</v>
      </c>
    </row>
    <row r="173" spans="1:7" x14ac:dyDescent="0.35">
      <c r="A173" s="1">
        <v>177</v>
      </c>
      <c r="B173" s="9"/>
      <c r="C173" s="25">
        <v>2018</v>
      </c>
      <c r="D173" s="9">
        <f>'ch receivable'!G173</f>
        <v>7.4919623417320808E-2</v>
      </c>
      <c r="E173" s="9">
        <f>'ch in cash sales'!J173</f>
        <v>-7.2849176754268399E-2</v>
      </c>
      <c r="F173" s="30">
        <f>'Ch In earning'!H173</f>
        <v>1.5886258069278403E-3</v>
      </c>
      <c r="G173" s="9">
        <f t="shared" si="2"/>
        <v>3.6590724699802485E-3</v>
      </c>
    </row>
    <row r="174" spans="1:7" x14ac:dyDescent="0.35">
      <c r="A174" s="1">
        <v>178</v>
      </c>
      <c r="B174" s="9"/>
      <c r="C174" s="25">
        <v>2019</v>
      </c>
      <c r="D174" s="9">
        <f>'ch receivable'!G174</f>
        <v>-1.0955266317640045E-3</v>
      </c>
      <c r="E174" s="9">
        <f>'ch in cash sales'!J174</f>
        <v>6.9023548228337672E-2</v>
      </c>
      <c r="F174" s="30">
        <f>'Ch In earning'!H174</f>
        <v>6.6695265285231578E-4</v>
      </c>
      <c r="G174" s="9">
        <f t="shared" si="2"/>
        <v>6.8594974249425983E-2</v>
      </c>
    </row>
    <row r="175" spans="1:7" x14ac:dyDescent="0.35">
      <c r="A175" s="1">
        <v>179</v>
      </c>
      <c r="B175" s="9"/>
      <c r="C175" s="25">
        <v>2020</v>
      </c>
      <c r="D175" s="9">
        <f>'ch receivable'!G175</f>
        <v>-2.2571316521699546E-2</v>
      </c>
      <c r="E175" s="9">
        <f>'ch in cash sales'!J175</f>
        <v>0.11806393724767733</v>
      </c>
      <c r="F175" s="30">
        <f>'Ch In earning'!H175</f>
        <v>-7.5756826520680994E-3</v>
      </c>
      <c r="G175" s="9">
        <f t="shared" si="2"/>
        <v>8.7916938073909684E-2</v>
      </c>
    </row>
    <row r="176" spans="1:7" x14ac:dyDescent="0.35">
      <c r="A176" s="1">
        <v>180</v>
      </c>
      <c r="B176" s="9"/>
      <c r="C176" s="25">
        <v>2021</v>
      </c>
      <c r="D176" s="9">
        <f>'ch receivable'!G176</f>
        <v>1.4364947260995249E-2</v>
      </c>
      <c r="E176" s="9">
        <f>'ch in cash sales'!J176</f>
        <v>3.8825053863967326E-2</v>
      </c>
      <c r="F176" s="30">
        <f>'Ch In earning'!H176</f>
        <v>8.3738557714375592E-4</v>
      </c>
      <c r="G176" s="9">
        <f t="shared" si="2"/>
        <v>5.4027386702106328E-2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149A1-5A93-491E-BCB8-D2D582889881}">
  <dimension ref="A1:G176"/>
  <sheetViews>
    <sheetView workbookViewId="0">
      <selection activeCell="F3" sqref="F3"/>
    </sheetView>
  </sheetViews>
  <sheetFormatPr defaultRowHeight="14.5" x14ac:dyDescent="0.35"/>
  <cols>
    <col min="2" max="2" width="11.26953125" bestFit="1" customWidth="1"/>
    <col min="4" max="4" width="23.26953125" style="5" bestFit="1" customWidth="1"/>
    <col min="5" max="5" width="22.81640625" style="12" bestFit="1" customWidth="1"/>
    <col min="6" max="6" width="21.7265625" bestFit="1" customWidth="1"/>
    <col min="7" max="7" width="21.3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6" t="s">
        <v>40</v>
      </c>
      <c r="E1" s="13" t="s">
        <v>41</v>
      </c>
      <c r="F1" s="1" t="s">
        <v>42</v>
      </c>
      <c r="G1" s="1" t="s">
        <v>43</v>
      </c>
    </row>
    <row r="2" spans="1:7" x14ac:dyDescent="0.35">
      <c r="A2" s="1">
        <v>1</v>
      </c>
      <c r="B2" s="1" t="s">
        <v>3</v>
      </c>
      <c r="C2" s="1">
        <v>2017</v>
      </c>
      <c r="D2" s="14">
        <f>14519676151+713988211+'ch receivable'!D2+36882660220+30928753278</f>
        <v>188346950854</v>
      </c>
      <c r="E2" s="16">
        <f>234663726530-6310038845-15163595819</f>
        <v>213190091866</v>
      </c>
      <c r="F2" s="11">
        <f>D2-E2</f>
        <v>-24843141012</v>
      </c>
      <c r="G2" s="9"/>
    </row>
    <row r="3" spans="1:7" ht="15.5" x14ac:dyDescent="0.35">
      <c r="A3" s="1">
        <v>2</v>
      </c>
      <c r="B3" s="2" t="s">
        <v>3</v>
      </c>
      <c r="C3" s="1">
        <v>2018</v>
      </c>
      <c r="D3" s="14">
        <f>11675712902+'ch receivable'!D3+713988216+64633898000+32186974591</f>
        <v>218515004183</v>
      </c>
      <c r="E3" s="17">
        <f>258813437264-5755573881-11221131258</f>
        <v>241836732125</v>
      </c>
      <c r="F3" s="11">
        <f t="shared" ref="F3:F66" si="0">D3-E3</f>
        <v>-23321727942</v>
      </c>
      <c r="G3" s="11">
        <f>F3-F2</f>
        <v>1521413070</v>
      </c>
    </row>
    <row r="4" spans="1:7" ht="15.5" x14ac:dyDescent="0.35">
      <c r="A4" s="1">
        <v>3</v>
      </c>
      <c r="B4" s="2" t="s">
        <v>3</v>
      </c>
      <c r="C4" s="1">
        <v>2019</v>
      </c>
      <c r="D4" s="14">
        <f>9180911925+'ch receivable'!D4+68040900929+28371905434</f>
        <v>206936619136</v>
      </c>
      <c r="E4" s="17">
        <f>238307219450-1559666255-5816748324</f>
        <v>230930804871</v>
      </c>
      <c r="F4" s="11">
        <f t="shared" si="0"/>
        <v>-23994185735</v>
      </c>
      <c r="G4" s="11">
        <f t="shared" ref="G4:G6" si="1">F4-F3</f>
        <v>-672457793</v>
      </c>
    </row>
    <row r="5" spans="1:7" ht="15.5" x14ac:dyDescent="0.35">
      <c r="A5" s="1">
        <v>4</v>
      </c>
      <c r="B5" s="2" t="s">
        <v>3</v>
      </c>
      <c r="C5" s="1">
        <v>2020</v>
      </c>
      <c r="D5" s="14">
        <f>10218012106+'ch receivable'!D5+25044323082+14134896380</f>
        <v>155993828988</v>
      </c>
      <c r="E5" s="17">
        <f>156229284960-8520962475-10964575454</f>
        <v>136743747031</v>
      </c>
      <c r="F5" s="11">
        <f t="shared" si="0"/>
        <v>19250081957</v>
      </c>
      <c r="G5" s="11">
        <f t="shared" si="1"/>
        <v>43244267692</v>
      </c>
    </row>
    <row r="6" spans="1:7" ht="15.5" x14ac:dyDescent="0.35">
      <c r="A6" s="1">
        <v>5</v>
      </c>
      <c r="B6" s="2" t="s">
        <v>3</v>
      </c>
      <c r="C6" s="1">
        <v>2021</v>
      </c>
      <c r="D6" s="14">
        <f>8301695852+'ch receivable'!D6+29453865309+65587930418</f>
        <v>236157460614</v>
      </c>
      <c r="E6" s="17">
        <f>219398368810-3324384530-24080932611</f>
        <v>191993051669</v>
      </c>
      <c r="F6" s="11">
        <f t="shared" si="0"/>
        <v>44164408945</v>
      </c>
      <c r="G6" s="11">
        <f t="shared" si="1"/>
        <v>24914326988</v>
      </c>
    </row>
    <row r="7" spans="1:7" ht="15.5" x14ac:dyDescent="0.35">
      <c r="A7" s="1">
        <v>6</v>
      </c>
      <c r="B7" s="2" t="s">
        <v>4</v>
      </c>
      <c r="C7" s="1">
        <v>2017</v>
      </c>
      <c r="D7" s="14">
        <f>3063169002+'ch receivable'!D7+123016373814</f>
        <v>265738628652</v>
      </c>
      <c r="E7" s="17">
        <f>403521972950-36619253244-14642983000-233483356743-18898350616</f>
        <v>99878029347</v>
      </c>
      <c r="F7" s="11">
        <f t="shared" si="0"/>
        <v>165860599305</v>
      </c>
      <c r="G7" s="9"/>
    </row>
    <row r="8" spans="1:7" x14ac:dyDescent="0.35">
      <c r="A8" s="1">
        <v>7</v>
      </c>
      <c r="B8" s="1" t="s">
        <v>4</v>
      </c>
      <c r="C8" s="1">
        <v>2018</v>
      </c>
      <c r="D8" s="14">
        <f>5853410707+'ch receivable'!D8+133703082559</f>
        <v>320101149649</v>
      </c>
      <c r="E8" s="17">
        <f>1113802274+89246619825+21790129723+545482187+12089534682</f>
        <v>124785568691</v>
      </c>
      <c r="F8" s="11">
        <f t="shared" si="0"/>
        <v>195315580958</v>
      </c>
      <c r="G8" s="11">
        <f>F8-F7</f>
        <v>29454981653</v>
      </c>
    </row>
    <row r="9" spans="1:7" x14ac:dyDescent="0.35">
      <c r="A9" s="1">
        <v>8</v>
      </c>
      <c r="B9" s="1" t="s">
        <v>4</v>
      </c>
      <c r="C9" s="1">
        <v>2019</v>
      </c>
      <c r="D9" s="14">
        <f>10327839284+'ch receivable'!D9+130941453733</f>
        <v>317063416058</v>
      </c>
      <c r="E9" s="17">
        <f>1534991608+71566715136+15627966323+617272865+5147113476</f>
        <v>94494059408</v>
      </c>
      <c r="F9" s="11">
        <f t="shared" si="0"/>
        <v>222569356650</v>
      </c>
      <c r="G9" s="11">
        <f t="shared" ref="G9:G11" si="2">F9-F8</f>
        <v>27253775692</v>
      </c>
    </row>
    <row r="10" spans="1:7" x14ac:dyDescent="0.35">
      <c r="A10" s="1">
        <v>9</v>
      </c>
      <c r="B10" s="1" t="s">
        <v>4</v>
      </c>
      <c r="C10" s="1">
        <v>2020</v>
      </c>
      <c r="D10" s="14">
        <f>27753266725+'ch receivable'!D10+237751180761</f>
        <v>528285486877</v>
      </c>
      <c r="E10" s="17">
        <f>460283470+36757191276+22406237281+391760750+1230443792</f>
        <v>61245916569</v>
      </c>
      <c r="F10" s="11">
        <f t="shared" si="0"/>
        <v>467039570308</v>
      </c>
      <c r="G10" s="11">
        <f t="shared" si="2"/>
        <v>244470213658</v>
      </c>
    </row>
    <row r="11" spans="1:7" x14ac:dyDescent="0.35">
      <c r="A11" s="1">
        <v>10</v>
      </c>
      <c r="B11" s="1" t="s">
        <v>4</v>
      </c>
      <c r="C11" s="1">
        <v>2021</v>
      </c>
      <c r="D11" s="14">
        <f>27286512817+'ch receivable'!D11+188451309212</f>
        <v>418850978640</v>
      </c>
      <c r="E11" s="17">
        <f>3237593569+3491647273+31148406534+633605432+4987600229</f>
        <v>43498853037</v>
      </c>
      <c r="F11" s="11">
        <f t="shared" si="0"/>
        <v>375352125603</v>
      </c>
      <c r="G11" s="11">
        <f t="shared" si="2"/>
        <v>-91687444705</v>
      </c>
    </row>
    <row r="12" spans="1:7" x14ac:dyDescent="0.35">
      <c r="A12" s="1">
        <v>11</v>
      </c>
      <c r="B12" s="1" t="s">
        <v>5</v>
      </c>
      <c r="C12" s="1">
        <v>2017</v>
      </c>
      <c r="D12" s="14">
        <f>11577664+32700717000000+21335150000000+28592738000000+'ch receivable'!D12</f>
        <v>536647607577664</v>
      </c>
      <c r="E12" s="15">
        <f>4867547000000+492747948000000+11734207000000+971479000000+80425000000+4093855000000</f>
        <v>514495461000000</v>
      </c>
      <c r="F12" s="11">
        <f t="shared" si="0"/>
        <v>22152146577664</v>
      </c>
      <c r="G12" s="9"/>
    </row>
    <row r="13" spans="1:7" x14ac:dyDescent="0.35">
      <c r="A13" s="1">
        <v>12</v>
      </c>
      <c r="B13" s="1" t="s">
        <v>5</v>
      </c>
      <c r="C13" s="1">
        <v>2018</v>
      </c>
      <c r="D13" s="14">
        <f>14043846000000+35591243000000+13133828000000+39324445000000+'ch receivable'!D13</f>
        <v>628563451000000</v>
      </c>
      <c r="E13" s="15">
        <f>671237546000000-99953000000-52024506000000-2987464-14608465000000-177519000000-4416613000000-21524329000000-322028000000</f>
        <v>578064130012536</v>
      </c>
      <c r="F13" s="11">
        <f t="shared" si="0"/>
        <v>50499320987464</v>
      </c>
      <c r="G13" s="11">
        <f>F13-F12</f>
        <v>28347174409800</v>
      </c>
    </row>
    <row r="14" spans="1:7" x14ac:dyDescent="0.35">
      <c r="A14" s="1">
        <v>13</v>
      </c>
      <c r="B14" s="1" t="s">
        <v>5</v>
      </c>
      <c r="C14" s="1">
        <v>2019</v>
      </c>
      <c r="D14" s="14">
        <f>15361703000000+37104091000000+14962793000000+47776809000000+'ch receivable'!D14</f>
        <v>683514765000000</v>
      </c>
      <c r="E14" s="15">
        <f>688489442000000-99965000000-57235500000000-2985052000000-14900956000000-185019000000-5341440000000-203054000000-2183403000000</f>
        <v>605355053000000</v>
      </c>
      <c r="F14" s="11">
        <f t="shared" si="0"/>
        <v>78159712000000</v>
      </c>
      <c r="G14" s="11">
        <f t="shared" ref="G14:G16" si="3">F14-F13</f>
        <v>27660391012536</v>
      </c>
    </row>
    <row r="15" spans="1:7" x14ac:dyDescent="0.35">
      <c r="A15" s="1">
        <v>14</v>
      </c>
      <c r="B15" s="1" t="s">
        <v>5</v>
      </c>
      <c r="C15" s="1">
        <v>2020</v>
      </c>
      <c r="D15" s="14">
        <f>17324047000000+35065701000000+16107788000000+61329259000000+'ch receivable'!D14</f>
        <v>698136164000000</v>
      </c>
      <c r="E15" s="15">
        <f>746235663000000-99979000000-44114314000000-2985011000000-18280485000000-1421914000000-5500360000000-2590268000000-414280000000</f>
        <v>670829052000000</v>
      </c>
      <c r="F15" s="11">
        <f t="shared" si="0"/>
        <v>27307112000000</v>
      </c>
      <c r="G15" s="11">
        <f t="shared" si="3"/>
        <v>-50852600000000</v>
      </c>
    </row>
    <row r="16" spans="1:7" x14ac:dyDescent="0.35">
      <c r="A16" s="1">
        <v>15</v>
      </c>
      <c r="B16" s="1" t="s">
        <v>5</v>
      </c>
      <c r="C16" s="1">
        <v>2021</v>
      </c>
      <c r="D16" s="14">
        <f>13683598000000+48682431000000+19569891000000+92290210000000+'ch receivable'!D16</f>
        <v>735846646000000</v>
      </c>
      <c r="E16" s="15">
        <f>838317715000000-15764682000000-32457936000000-2986530000000-20542001000000-2276397000000-5588069000000-1828652000000-109948000000</f>
        <v>756763500000000</v>
      </c>
      <c r="F16" s="11">
        <f t="shared" si="0"/>
        <v>-20916854000000</v>
      </c>
      <c r="G16" s="11">
        <f t="shared" si="3"/>
        <v>-48223966000000</v>
      </c>
    </row>
    <row r="17" spans="1:7" x14ac:dyDescent="0.35">
      <c r="A17" s="1">
        <v>16</v>
      </c>
      <c r="B17" s="1" t="s">
        <v>6</v>
      </c>
      <c r="C17" s="1">
        <v>2017</v>
      </c>
      <c r="D17" s="14">
        <f>1027554000000+12554585000000+556301000000+24697503000000+'ch receivable'!D17</f>
        <v>235478618000000</v>
      </c>
      <c r="E17" s="15">
        <f>223937463000000-2999319000000-5612462000000-7991053000000-20480459000000-8081000000-1385000000000-85481932000000</f>
        <v>99979157000000</v>
      </c>
      <c r="F17" s="11">
        <f t="shared" si="0"/>
        <v>135499461000000</v>
      </c>
      <c r="G17" s="9"/>
    </row>
    <row r="18" spans="1:7" x14ac:dyDescent="0.35">
      <c r="A18" s="1">
        <v>17</v>
      </c>
      <c r="B18" s="1" t="s">
        <v>6</v>
      </c>
      <c r="C18" s="1">
        <v>2018</v>
      </c>
      <c r="D18" s="14">
        <f>1243615000000+15417862000000+1587051000000+26464760000000+'ch receivable'!D18</f>
        <v>279700978000000</v>
      </c>
      <c r="E18" s="15">
        <f>263784017000000-2999519000000-6217814000000-15499493000000-20644760000000-528148000000-935000000000-115462283000000</f>
        <v>101497000000000</v>
      </c>
      <c r="F18" s="11">
        <f t="shared" si="0"/>
        <v>178203978000000</v>
      </c>
      <c r="G18" s="11">
        <f>F18-F17</f>
        <v>42704517000000</v>
      </c>
    </row>
    <row r="19" spans="1:7" x14ac:dyDescent="0.35">
      <c r="A19" s="1">
        <v>18</v>
      </c>
      <c r="B19" s="1" t="s">
        <v>6</v>
      </c>
      <c r="C19" s="1">
        <v>2019</v>
      </c>
      <c r="D19" s="14">
        <f>1369167000000+1551239000000+747869000000+11097193000000+'ch receivable'!D19</f>
        <v>264961513000000</v>
      </c>
      <c r="E19" s="15">
        <f>269451682000000-5999669000000-5736637000000-19783552000000-22465657000000-487052000000-935000000000-113929798000000</f>
        <v>100114317000000</v>
      </c>
      <c r="F19" s="11">
        <f t="shared" si="0"/>
        <v>164847196000000</v>
      </c>
      <c r="G19" s="11">
        <f t="shared" ref="G19:G21" si="4">F19-F18</f>
        <v>-13356782000000</v>
      </c>
    </row>
    <row r="20" spans="1:7" x14ac:dyDescent="0.35">
      <c r="A20" s="1">
        <v>19</v>
      </c>
      <c r="B20" s="1" t="s">
        <v>6</v>
      </c>
      <c r="C20" s="1">
        <v>2020</v>
      </c>
      <c r="D20" s="14">
        <f>1429426000000+11107672000000+3215321000000+19830433000000+'ch receivable'!D20</f>
        <v>282901116000000</v>
      </c>
      <c r="E20" s="15">
        <f>321376142000000-10194432000000-6666875000000-6489000000-15810466000000-23807138000000-22787000000-196071000000-147858608000000</f>
        <v>116813276000000</v>
      </c>
      <c r="F20" s="11">
        <f t="shared" si="0"/>
        <v>166087840000000</v>
      </c>
      <c r="G20" s="11">
        <f t="shared" si="4"/>
        <v>1240644000000</v>
      </c>
    </row>
    <row r="21" spans="1:7" x14ac:dyDescent="0.35">
      <c r="A21" s="1">
        <v>20</v>
      </c>
      <c r="B21" s="1" t="s">
        <v>6</v>
      </c>
      <c r="C21" s="1">
        <v>2021</v>
      </c>
      <c r="D21" s="14">
        <f>1539577000000+10692484000000+1095100000000+27901048000000+'ch receivable'!D21</f>
        <v>302112274000000</v>
      </c>
      <c r="E21" s="15">
        <f>327693592000000-8759744000000-6618300000000-3644000000-12371708000000-22062291000000-17741000000-454140000000-146520589000000</f>
        <v>130885435000000</v>
      </c>
      <c r="F21" s="11">
        <f t="shared" si="0"/>
        <v>171226839000000</v>
      </c>
      <c r="G21" s="11">
        <f t="shared" si="4"/>
        <v>5138999000000</v>
      </c>
    </row>
    <row r="22" spans="1:7" x14ac:dyDescent="0.35">
      <c r="A22" s="1">
        <v>21</v>
      </c>
      <c r="B22" s="1" t="s">
        <v>7</v>
      </c>
      <c r="C22" s="1">
        <v>2017</v>
      </c>
      <c r="D22" s="14">
        <f>1780674000000+34993000000+424687000000-10577000000+'ch receivable'!D22</f>
        <v>6553454000000</v>
      </c>
      <c r="E22" s="15">
        <f>533534000000+8443515000000+197257000000+14726000000+172534000000+27056000000</f>
        <v>9388622000000</v>
      </c>
      <c r="F22" s="11">
        <f t="shared" si="0"/>
        <v>-2835168000000</v>
      </c>
      <c r="G22" s="9"/>
    </row>
    <row r="23" spans="1:7" x14ac:dyDescent="0.35">
      <c r="A23" s="1">
        <v>22</v>
      </c>
      <c r="B23" s="1" t="s">
        <v>7</v>
      </c>
      <c r="C23" s="1">
        <v>2018</v>
      </c>
      <c r="D23" s="14">
        <f>1927704000000+38316000000+309360000000-16490000000+'ch receivable'!D23</f>
        <v>5246022000000</v>
      </c>
      <c r="E23" s="15">
        <f>823273000000+7604794000000+740092000000+37937000000+113873000000+22277000000</f>
        <v>9342246000000</v>
      </c>
      <c r="F23" s="11">
        <f t="shared" si="0"/>
        <v>-4096224000000</v>
      </c>
      <c r="G23" s="11">
        <f>(F23-F22)</f>
        <v>-1261056000000</v>
      </c>
    </row>
    <row r="24" spans="1:7" x14ac:dyDescent="0.35">
      <c r="A24" s="1">
        <v>23</v>
      </c>
      <c r="B24" s="1" t="s">
        <v>7</v>
      </c>
      <c r="C24" s="1">
        <v>2019</v>
      </c>
      <c r="D24" s="14">
        <f>1177395000000+39229000000+342371000000-25108000000+'ch receivable'!D24</f>
        <v>4131645000000</v>
      </c>
      <c r="E24" s="15">
        <f>409096000000+7895637000000+393715000000+48486000000+201472000000+313175000000+32272000000</f>
        <v>9293853000000</v>
      </c>
      <c r="F24" s="11">
        <f t="shared" si="0"/>
        <v>-5162208000000</v>
      </c>
      <c r="G24" s="11">
        <f t="shared" ref="G24:G26" si="5">(F24-F23)</f>
        <v>-1065984000000</v>
      </c>
    </row>
    <row r="25" spans="1:7" x14ac:dyDescent="0.35">
      <c r="A25" s="1">
        <v>24</v>
      </c>
      <c r="B25" s="1" t="s">
        <v>7</v>
      </c>
      <c r="C25" s="1">
        <v>2020</v>
      </c>
      <c r="D25" s="14">
        <f>1758171000000+43458000000+310482000000-34031000000+'ch receivable'!D25</f>
        <v>4672634000000</v>
      </c>
      <c r="E25" s="15">
        <f>753682000000+8315127000000+490103000000+173797000000+421663000000+498855000000+25398000000</f>
        <v>10678625000000</v>
      </c>
      <c r="F25" s="11">
        <f t="shared" si="0"/>
        <v>-6005991000000</v>
      </c>
      <c r="G25" s="11">
        <f t="shared" si="5"/>
        <v>-843783000000</v>
      </c>
    </row>
    <row r="26" spans="1:7" x14ac:dyDescent="0.35">
      <c r="A26" s="1">
        <v>25</v>
      </c>
      <c r="B26" s="1" t="s">
        <v>7</v>
      </c>
      <c r="C26" s="1">
        <v>2021</v>
      </c>
      <c r="D26" s="14">
        <f>2827492000000+28473000000+304095000000-34781000000+'ch receivable'!D26</f>
        <v>5431154000000</v>
      </c>
      <c r="E26" s="15">
        <f>11123446000000+130675000000+69299000000+385506000000+347083000000+29696000000</f>
        <v>12085705000000</v>
      </c>
      <c r="F26" s="11">
        <f t="shared" si="0"/>
        <v>-6654551000000</v>
      </c>
      <c r="G26" s="11">
        <f t="shared" si="5"/>
        <v>-648560000000</v>
      </c>
    </row>
    <row r="27" spans="1:7" x14ac:dyDescent="0.35">
      <c r="A27" s="1">
        <v>26</v>
      </c>
      <c r="B27" s="1" t="s">
        <v>8</v>
      </c>
      <c r="C27" s="1">
        <v>2017</v>
      </c>
      <c r="D27" s="14">
        <f>2546414000000+7555916000000+221082000000+1810940000000+5198885000000+'ch receivable'!D27+697170000000</f>
        <v>140368274000000</v>
      </c>
      <c r="E27" s="15">
        <f>129971000000+101766847000000+4634513000000+116526000000</f>
        <v>106647857000000</v>
      </c>
      <c r="F27" s="11">
        <f t="shared" si="0"/>
        <v>33720417000000</v>
      </c>
      <c r="G27" s="9"/>
    </row>
    <row r="28" spans="1:7" x14ac:dyDescent="0.35">
      <c r="A28" s="1">
        <v>27</v>
      </c>
      <c r="B28" s="1" t="s">
        <v>8</v>
      </c>
      <c r="C28" s="1">
        <v>2018</v>
      </c>
      <c r="D28" s="14">
        <f>2823776000000+6459517000000+112282000000+1274889000000+8576062000000+'ch receivable'!D28</f>
        <v>143923553000000</v>
      </c>
      <c r="E28" s="15">
        <f>118980000000+107576816000000+3152422000000+87011000000</f>
        <v>110935229000000</v>
      </c>
      <c r="F28" s="11">
        <f t="shared" si="0"/>
        <v>32988324000000</v>
      </c>
      <c r="G28" s="11">
        <f>F28-F27</f>
        <v>-732093000000</v>
      </c>
    </row>
    <row r="29" spans="1:7" x14ac:dyDescent="0.35">
      <c r="A29" s="1">
        <v>28</v>
      </c>
      <c r="B29" s="1" t="s">
        <v>8</v>
      </c>
      <c r="C29" s="1">
        <v>2019</v>
      </c>
      <c r="D29" s="14">
        <f>2950563000000+5403446000000+15945000000+2599729000000+189886000000+5400836000000+'ch receivable'!D29</f>
        <v>154362647000000</v>
      </c>
      <c r="E29" s="15">
        <f>590957000000+109200953000000+266031000000+4215474000000+473076000000</f>
        <v>114746491000000</v>
      </c>
      <c r="F29" s="11">
        <f t="shared" si="0"/>
        <v>39616156000000</v>
      </c>
      <c r="G29" s="11">
        <f t="shared" ref="G29:G31" si="6">F29-F28</f>
        <v>6627832000000</v>
      </c>
    </row>
    <row r="30" spans="1:7" x14ac:dyDescent="0.35">
      <c r="A30" s="1">
        <v>29</v>
      </c>
      <c r="B30" s="1" t="s">
        <v>8</v>
      </c>
      <c r="C30" s="1">
        <v>2020</v>
      </c>
      <c r="D30" s="14">
        <f>2838127000000+2185998000000+5208000000+4411865000000+7303551000000+'ch receivable'!D30</f>
        <v>145488655000000</v>
      </c>
      <c r="E30" s="15">
        <f>298081000000+123435123000000+78494000000+2399231000000+300857000000</f>
        <v>126511786000000</v>
      </c>
      <c r="F30" s="11">
        <f t="shared" si="0"/>
        <v>18976869000000</v>
      </c>
      <c r="G30" s="11">
        <f t="shared" si="6"/>
        <v>-20639287000000</v>
      </c>
    </row>
    <row r="31" spans="1:7" x14ac:dyDescent="0.35">
      <c r="A31" s="1">
        <v>30</v>
      </c>
      <c r="B31" s="1" t="s">
        <v>8</v>
      </c>
      <c r="C31" s="1">
        <v>2021</v>
      </c>
      <c r="D31" s="14">
        <f>2789555000000+3060014000000+176550000000+2801084000000+9888484000000+'ch receivable'!D31</f>
        <v>141166331000000</v>
      </c>
      <c r="E31" s="15">
        <f>962547000000+120106770000000+65813000000+2218774000000+212184000000</f>
        <v>123566088000000</v>
      </c>
      <c r="F31" s="11">
        <f t="shared" si="0"/>
        <v>17600243000000</v>
      </c>
      <c r="G31" s="11">
        <f t="shared" si="6"/>
        <v>-1376626000000</v>
      </c>
    </row>
    <row r="32" spans="1:7" x14ac:dyDescent="0.35">
      <c r="A32" s="1">
        <v>31</v>
      </c>
      <c r="B32" s="1" t="s">
        <v>9</v>
      </c>
      <c r="C32" s="1">
        <v>2017</v>
      </c>
      <c r="D32" s="14">
        <f>225203000000+'ch receivable'!D32</f>
        <v>15814055000000</v>
      </c>
      <c r="E32" s="15">
        <f>6819052000000+140151000000+293527000000+199716000000</f>
        <v>7452446000000</v>
      </c>
      <c r="F32" s="11">
        <f t="shared" si="0"/>
        <v>8361609000000</v>
      </c>
      <c r="G32" s="9"/>
    </row>
    <row r="33" spans="1:7" x14ac:dyDescent="0.35">
      <c r="A33" s="1">
        <v>32</v>
      </c>
      <c r="B33" s="1" t="s">
        <v>9</v>
      </c>
      <c r="C33" s="1">
        <v>2018</v>
      </c>
      <c r="D33" s="14">
        <f>755247000000+'ch receivable'!D33</f>
        <v>18234081000000</v>
      </c>
      <c r="E33" s="15">
        <f>6899860000000+67063000000+287878000000+202498000000</f>
        <v>7457299000000</v>
      </c>
      <c r="F33" s="11">
        <f t="shared" si="0"/>
        <v>10776782000000</v>
      </c>
      <c r="G33" s="11">
        <f>F33-F32</f>
        <v>2415173000000</v>
      </c>
    </row>
    <row r="34" spans="1:7" x14ac:dyDescent="0.35">
      <c r="A34" s="1">
        <v>33</v>
      </c>
      <c r="B34" s="1" t="s">
        <v>9</v>
      </c>
      <c r="C34" s="1">
        <v>2019</v>
      </c>
      <c r="D34" s="14">
        <f>660032000000+'ch receivable'!D34</f>
        <v>18211551000000</v>
      </c>
      <c r="E34" s="15">
        <f>7730021000000+73271000000+796709000000+258337000000</f>
        <v>8858338000000</v>
      </c>
      <c r="F34" s="11">
        <f t="shared" si="0"/>
        <v>9353213000000</v>
      </c>
      <c r="G34" s="11">
        <f t="shared" ref="G34:G36" si="7">F34-F33</f>
        <v>-1423569000000</v>
      </c>
    </row>
    <row r="35" spans="1:7" x14ac:dyDescent="0.35">
      <c r="A35" s="1">
        <v>34</v>
      </c>
      <c r="B35" s="1" t="s">
        <v>9</v>
      </c>
      <c r="C35" s="1">
        <v>2020</v>
      </c>
      <c r="D35" s="14">
        <f>1414691000000+'ch receivable'!D35</f>
        <v>14248625000000</v>
      </c>
      <c r="E35" s="15">
        <f>4794844000000+101719000000+194038000000+154211000000</f>
        <v>5244812000000</v>
      </c>
      <c r="F35" s="11">
        <f t="shared" si="0"/>
        <v>9003813000000</v>
      </c>
      <c r="G35" s="11">
        <f t="shared" si="7"/>
        <v>-349400000000</v>
      </c>
    </row>
    <row r="36" spans="1:7" x14ac:dyDescent="0.35">
      <c r="A36" s="1">
        <v>35</v>
      </c>
      <c r="B36" s="1" t="s">
        <v>9</v>
      </c>
      <c r="C36" s="1">
        <v>2021</v>
      </c>
      <c r="D36" s="14">
        <f>969182000000+'ch receivable'!D36</f>
        <v>14733402000000</v>
      </c>
      <c r="E36" s="15">
        <f>4789422000000+120131000000+338442000000+115457000000</f>
        <v>5363452000000</v>
      </c>
      <c r="F36" s="11">
        <f t="shared" si="0"/>
        <v>9369950000000</v>
      </c>
      <c r="G36" s="11">
        <f t="shared" si="7"/>
        <v>366137000000</v>
      </c>
    </row>
    <row r="37" spans="1:7" x14ac:dyDescent="0.35">
      <c r="A37" s="1">
        <v>36</v>
      </c>
      <c r="B37" s="1" t="s">
        <v>10</v>
      </c>
      <c r="C37" s="1">
        <v>2017</v>
      </c>
      <c r="D37" s="14">
        <f>3889241000000+11522696000000+3529272000000+13314199000000+'ch receivable'!D37</f>
        <v>221847408000000</v>
      </c>
      <c r="E37" s="15">
        <f>1946166000000+49281023000000+50214272000000+6884335000000+445502000000+2986666000000+1289985000000</f>
        <v>113047949000000</v>
      </c>
      <c r="F37" s="11">
        <f t="shared" si="0"/>
        <v>108799459000000</v>
      </c>
      <c r="G37" s="9"/>
    </row>
    <row r="38" spans="1:7" x14ac:dyDescent="0.35">
      <c r="A38" s="1">
        <v>37</v>
      </c>
      <c r="B38" s="1" t="s">
        <v>10</v>
      </c>
      <c r="C38" s="1">
        <v>2018</v>
      </c>
      <c r="D38" s="14">
        <f>4290614000000+10435254000000+3024143000000+9227275000000+'ch receivable'!D38</f>
        <v>214889787000000</v>
      </c>
      <c r="E38" s="15">
        <f>2240191000000+45857151000000+54495883000000+2928693000000+461141000000+3594738000000+930196000000</f>
        <v>110507993000000</v>
      </c>
      <c r="F38" s="11">
        <f t="shared" si="0"/>
        <v>104381794000000</v>
      </c>
      <c r="G38" s="11">
        <f>F38-F37</f>
        <v>-4417665000000</v>
      </c>
    </row>
    <row r="39" spans="1:7" x14ac:dyDescent="0.35">
      <c r="A39" s="1">
        <v>38</v>
      </c>
      <c r="B39" s="1" t="s">
        <v>10</v>
      </c>
      <c r="C39" s="1">
        <v>2019</v>
      </c>
      <c r="D39" s="14">
        <f>5691444000000+11395695000000+2138408000000+12104730000000+'ch receivable'!D39</f>
        <v>224000336000000</v>
      </c>
      <c r="E39" s="15">
        <f>1781962000000+48943913000000+59316069000000+1364586000000+498541000000+4038684000000+1131727000000</f>
        <v>117075482000000</v>
      </c>
      <c r="F39" s="11">
        <f t="shared" si="0"/>
        <v>106924854000000</v>
      </c>
      <c r="G39" s="11">
        <f t="shared" ref="G39:G41" si="8">F39-F38</f>
        <v>2543060000000</v>
      </c>
    </row>
    <row r="40" spans="1:7" x14ac:dyDescent="0.35">
      <c r="A40" s="1">
        <v>39</v>
      </c>
      <c r="B40" s="1" t="s">
        <v>10</v>
      </c>
      <c r="C40" s="1">
        <v>2020</v>
      </c>
      <c r="D40" s="14">
        <f>4777284000000+6221892000000+3697487000000+13334150000000+'ch receivable'!D40</f>
        <v>194242397000000</v>
      </c>
      <c r="E40" s="15">
        <f>3636684000000+55862547000000+67861369000000+2901556000000+301192000000+5151393000000+1098334000000</f>
        <v>136813075000000</v>
      </c>
      <c r="F40" s="11">
        <f t="shared" si="0"/>
        <v>57429322000000</v>
      </c>
      <c r="G40" s="11">
        <f t="shared" si="8"/>
        <v>-49495532000000</v>
      </c>
    </row>
    <row r="41" spans="1:7" x14ac:dyDescent="0.35">
      <c r="A41" s="1">
        <v>40</v>
      </c>
      <c r="B41" s="1" t="s">
        <v>10</v>
      </c>
      <c r="C41" s="1">
        <v>2021</v>
      </c>
      <c r="D41" s="14">
        <f>4548210000000+9291044000000+2822988000000+30345785000000+'ch receivable'!D41</f>
        <v>218958935000000</v>
      </c>
      <c r="E41" s="15">
        <f>3239391000000+75477306000000+72565133000000+3059451000000+584187000000+6082833000000+1355055000000</f>
        <v>162363356000000</v>
      </c>
      <c r="F41" s="11">
        <f t="shared" si="0"/>
        <v>56595579000000</v>
      </c>
      <c r="G41" s="11">
        <f t="shared" si="8"/>
        <v>-833743000000</v>
      </c>
    </row>
    <row r="42" spans="1:7" x14ac:dyDescent="0.35">
      <c r="A42" s="1">
        <v>41</v>
      </c>
      <c r="B42" s="1" t="s">
        <v>11</v>
      </c>
      <c r="C42" s="1">
        <v>2017</v>
      </c>
      <c r="D42" s="14">
        <f>1327144000000+9135070000000+1760432000000+3777715000000+'ch receivable'!D42</f>
        <v>142245644000000</v>
      </c>
      <c r="E42" s="15">
        <f>1176239000000+121291560000000+3861373000000+198800000000+3781938000000</f>
        <v>130309910000000</v>
      </c>
      <c r="F42" s="11">
        <f t="shared" si="0"/>
        <v>11935734000000</v>
      </c>
      <c r="G42" s="9"/>
    </row>
    <row r="43" spans="1:7" x14ac:dyDescent="0.35">
      <c r="A43" s="1">
        <v>42</v>
      </c>
      <c r="B43" s="1" t="s">
        <v>11</v>
      </c>
      <c r="C43" s="1">
        <v>2018</v>
      </c>
      <c r="D43" s="14">
        <f>1604849000000+8941078000000+2161790000000+4978245000000+'ch receivable'!D43</f>
        <v>152861374000000</v>
      </c>
      <c r="E43" s="15">
        <f>859282000000+116812388000000+4217922000000+168883000000+3870431000000</f>
        <v>125928906000000</v>
      </c>
      <c r="F43" s="11">
        <f t="shared" si="0"/>
        <v>26932468000000</v>
      </c>
      <c r="G43" s="11">
        <f>F43-F42</f>
        <v>14996734000000</v>
      </c>
    </row>
    <row r="44" spans="1:7" x14ac:dyDescent="0.35">
      <c r="A44" s="1">
        <v>43</v>
      </c>
      <c r="B44" s="1" t="s">
        <v>11</v>
      </c>
      <c r="C44" s="1">
        <v>2019</v>
      </c>
      <c r="D44" s="14">
        <f>1776134000000+7730335000000+3457531000000+5284323000000+'ch receivable'!D44</f>
        <v>140755959000000</v>
      </c>
      <c r="E44" s="15">
        <f>949936000000+110601006000000+3134059000000+193017000000+3283357000000</f>
        <v>118161375000000</v>
      </c>
      <c r="F44" s="11">
        <f t="shared" si="0"/>
        <v>22594584000000</v>
      </c>
      <c r="G44" s="11">
        <f t="shared" ref="G44:G46" si="9">F44-F43</f>
        <v>-4337884000000</v>
      </c>
    </row>
    <row r="45" spans="1:7" x14ac:dyDescent="0.35">
      <c r="A45" s="1">
        <v>44</v>
      </c>
      <c r="B45" s="1" t="s">
        <v>11</v>
      </c>
      <c r="C45" s="1">
        <v>2020</v>
      </c>
      <c r="D45" s="14">
        <f>1538167000000+5049530000000+5018118000000+13029798000000+'ch receivable'!D45</f>
        <v>129038323000000</v>
      </c>
      <c r="E45" s="15">
        <f>1172326000000+115003047000000+8236126000000+221494000000+3840214000000</f>
        <v>128473207000000</v>
      </c>
      <c r="F45" s="11">
        <f t="shared" si="0"/>
        <v>565116000000</v>
      </c>
      <c r="G45" s="11">
        <f t="shared" si="9"/>
        <v>-22029468000000</v>
      </c>
    </row>
    <row r="46" spans="1:7" x14ac:dyDescent="0.35">
      <c r="A46" s="1">
        <v>45</v>
      </c>
      <c r="B46" s="1" t="s">
        <v>11</v>
      </c>
      <c r="C46" s="1">
        <v>2021</v>
      </c>
      <c r="D46" s="14">
        <f>1618419000000+4499947000000+3748918000000+14395316000000+'ch receivable'!D46</f>
        <v>124990261000000</v>
      </c>
      <c r="E46" s="15">
        <f>809999000000+114898775000000+5162363000000+222417000000+3642641000000</f>
        <v>124736195000000</v>
      </c>
      <c r="F46" s="11">
        <f t="shared" si="0"/>
        <v>254066000000</v>
      </c>
      <c r="G46" s="11">
        <f t="shared" si="9"/>
        <v>-311050000000</v>
      </c>
    </row>
    <row r="47" spans="1:7" x14ac:dyDescent="0.35">
      <c r="A47" s="1">
        <v>46</v>
      </c>
      <c r="B47" s="1" t="s">
        <v>12</v>
      </c>
      <c r="C47" s="1">
        <v>2017</v>
      </c>
      <c r="D47" s="14">
        <f>1940485000000+8541582000000+750212000000+426709000000+6294096000000+1104676000000+164000000+'ch receivable'!D47</f>
        <v>112708769000000</v>
      </c>
      <c r="E47" s="15">
        <f>384169000000+23481197000000+6553603000000+27393067000000+429648000000+2552273000000+145270000000+11338000000+610000000+1032000000+1184496000000+138159000000</f>
        <v>62274862000000</v>
      </c>
      <c r="F47" s="11">
        <f t="shared" si="0"/>
        <v>50433907000000</v>
      </c>
      <c r="G47" s="9"/>
    </row>
    <row r="48" spans="1:7" x14ac:dyDescent="0.35">
      <c r="A48" s="1">
        <v>47</v>
      </c>
      <c r="B48" s="1" t="s">
        <v>12</v>
      </c>
      <c r="C48" s="1">
        <v>2018</v>
      </c>
      <c r="D48" s="14">
        <f>2185074000000+8901492000000+929560000000+543070000000+11850858000000+1743827000000+671000000+'ch receivable'!D48</f>
        <v>128117544000000</v>
      </c>
      <c r="E48" s="15">
        <f>130440930000000-1068985000000-3715302000000-59465000000--621315000000-17740000000-2747942000000-54219868000000-7026154000000</f>
        <v>62206789000000</v>
      </c>
      <c r="F48" s="11">
        <f t="shared" si="0"/>
        <v>65910755000000</v>
      </c>
      <c r="G48" s="11">
        <f>F48-F47</f>
        <v>15476848000000</v>
      </c>
    </row>
    <row r="49" spans="1:7" x14ac:dyDescent="0.35">
      <c r="A49" s="1">
        <v>48</v>
      </c>
      <c r="B49" s="1" t="s">
        <v>12</v>
      </c>
      <c r="C49" s="1">
        <v>2019</v>
      </c>
      <c r="D49" s="14">
        <f>2303932000000+8082615000000+1765592000000+424849000000+12426427000000+2484360000000+4000000+'ch receivable'!D49</f>
        <v>134263488000000</v>
      </c>
      <c r="E49" s="15">
        <f>137413908000000-992138000000-1286680000000-56017000000--562970000000-12881000000-1695446000000-19872000000-55010089000000-5890381000000</f>
        <v>73013374000000</v>
      </c>
      <c r="F49" s="11">
        <f t="shared" si="0"/>
        <v>61250114000000</v>
      </c>
      <c r="G49" s="11">
        <f t="shared" ref="G49:G51" si="10">F49-F48</f>
        <v>-4660641000000</v>
      </c>
    </row>
    <row r="50" spans="1:7" x14ac:dyDescent="0.35">
      <c r="A50" s="1">
        <v>49</v>
      </c>
      <c r="B50" s="1" t="s">
        <v>12</v>
      </c>
      <c r="C50" s="1">
        <v>2020</v>
      </c>
      <c r="D50" s="14">
        <f>1794768000000+5013391000000+2557513000000+6003000000+18660681000000+2348378000000+'ch receivable'!D50</f>
        <v>142626559000000</v>
      </c>
      <c r="E50" s="15">
        <f>162654644000000-9106068000000-105197000000-609738000000-67667000000-1141112000000-8000000-1460535000000-71191551000000-63166000000</f>
        <v>78909602000000</v>
      </c>
      <c r="F50" s="11">
        <f t="shared" si="0"/>
        <v>63716957000000</v>
      </c>
      <c r="G50" s="11">
        <f t="shared" si="10"/>
        <v>2466843000000</v>
      </c>
    </row>
    <row r="51" spans="1:7" x14ac:dyDescent="0.35">
      <c r="A51" s="1">
        <v>50</v>
      </c>
      <c r="B51" s="1" t="s">
        <v>12</v>
      </c>
      <c r="C51" s="1">
        <v>2021</v>
      </c>
      <c r="D51" s="14">
        <f>1978137000000+10627001000000+2971757000000+30716000000+32594007000000+855158000000+'ch receivable'!D51</f>
        <v>167969662000000</v>
      </c>
      <c r="E51" s="15">
        <f>197765327000000-9329879000000-67200000000-756454000000-1350000000-2011886000000-82778671000000-57224000000</f>
        <v>102762663000000</v>
      </c>
      <c r="F51" s="11">
        <f t="shared" si="0"/>
        <v>65206999000000</v>
      </c>
      <c r="G51" s="11">
        <f t="shared" si="10"/>
        <v>1490042000000</v>
      </c>
    </row>
    <row r="52" spans="1:7" x14ac:dyDescent="0.35">
      <c r="A52" s="1">
        <v>51</v>
      </c>
      <c r="B52" s="1" t="s">
        <v>13</v>
      </c>
      <c r="C52" s="1">
        <v>2017</v>
      </c>
      <c r="D52" s="14">
        <f>220471000000+269991000000+1731256000000+'ch receivable'!D52</f>
        <v>28461735000000</v>
      </c>
      <c r="E52" s="15">
        <f>6697104000000+3847182000000+657757000000+72968000000+30178000000+967689000000</f>
        <v>12272878000000</v>
      </c>
      <c r="F52" s="11">
        <f t="shared" si="0"/>
        <v>16188857000000</v>
      </c>
      <c r="G52" s="9"/>
    </row>
    <row r="53" spans="1:7" x14ac:dyDescent="0.35">
      <c r="A53" s="1">
        <v>52</v>
      </c>
      <c r="B53" s="1" t="s">
        <v>13</v>
      </c>
      <c r="C53" s="1">
        <v>2018</v>
      </c>
      <c r="D53" s="14">
        <f>249599000000+180069000000+1259656000000+'ch receivable'!D53</f>
        <v>29757520000000</v>
      </c>
      <c r="E53" s="15">
        <f>11778092000000+793217000000+35451000000+30174000000+864883000000</f>
        <v>13501817000000</v>
      </c>
      <c r="F53" s="11">
        <f t="shared" si="0"/>
        <v>16255703000000</v>
      </c>
      <c r="G53" s="11">
        <f>F53-F52</f>
        <v>66846000000</v>
      </c>
    </row>
    <row r="54" spans="1:7" x14ac:dyDescent="0.35">
      <c r="A54" s="1">
        <v>53</v>
      </c>
      <c r="B54" s="1" t="s">
        <v>13</v>
      </c>
      <c r="C54" s="1">
        <v>2019</v>
      </c>
      <c r="D54" s="14">
        <f>170881000000+1146708000000+1804903000000+'ch receivable'!D54</f>
        <v>33504454000000</v>
      </c>
      <c r="E54" s="15">
        <f>10350058000000+1500000000000+973379000000+38616000000+364455000000+1058152000000</f>
        <v>14284660000000</v>
      </c>
      <c r="F54" s="11">
        <f t="shared" si="0"/>
        <v>19219794000000</v>
      </c>
      <c r="G54" s="11">
        <f t="shared" ref="G54:G56" si="11">F54-F53</f>
        <v>2964091000000</v>
      </c>
    </row>
    <row r="55" spans="1:7" x14ac:dyDescent="0.35">
      <c r="A55" s="1">
        <v>54</v>
      </c>
      <c r="B55" s="1" t="s">
        <v>13</v>
      </c>
      <c r="C55" s="1">
        <v>2020</v>
      </c>
      <c r="D55" s="14">
        <f>76172000000+2934779000000+1216458000000+'ch receivable'!D55</f>
        <v>27477745000000</v>
      </c>
      <c r="E55" s="15">
        <f>8952441000000+187500000000+1012886000000+38330000000+185896000000+946096000000</f>
        <v>11323149000000</v>
      </c>
      <c r="F55" s="11">
        <f t="shared" si="0"/>
        <v>16154596000000</v>
      </c>
      <c r="G55" s="11">
        <f t="shared" si="11"/>
        <v>-3065198000000</v>
      </c>
    </row>
    <row r="56" spans="1:7" x14ac:dyDescent="0.35">
      <c r="A56" s="1">
        <v>55</v>
      </c>
      <c r="B56" s="1" t="s">
        <v>13</v>
      </c>
      <c r="C56" s="1">
        <v>2021</v>
      </c>
      <c r="D56" s="14">
        <f>153864000000+876000000+606931000000+'ch receivable'!D56</f>
        <v>21356445000000</v>
      </c>
      <c r="E56" s="15">
        <f>3608879000000+1345834000000+1034561000000+40461000000+173686000000+953468000000</f>
        <v>7156889000000</v>
      </c>
      <c r="F56" s="11">
        <f t="shared" si="0"/>
        <v>14199556000000</v>
      </c>
      <c r="G56" s="11">
        <f t="shared" si="11"/>
        <v>-1955040000000</v>
      </c>
    </row>
    <row r="57" spans="1:7" x14ac:dyDescent="0.35">
      <c r="A57" s="1">
        <v>56</v>
      </c>
      <c r="B57" s="1" t="s">
        <v>14</v>
      </c>
      <c r="C57" s="1">
        <v>2017</v>
      </c>
      <c r="D57" s="14">
        <f>72142423000+1768560694000+75230962000+2114572525000+'ch receivable'!D57</f>
        <v>19725075731000</v>
      </c>
      <c r="E57" s="15">
        <f>4494773000+20774972177000+2236882484000+41968503000+76384504000</f>
        <v>23134702441000</v>
      </c>
      <c r="F57" s="11">
        <f t="shared" si="0"/>
        <v>-3409626710000</v>
      </c>
      <c r="G57" s="9"/>
    </row>
    <row r="58" spans="1:7" x14ac:dyDescent="0.35">
      <c r="A58" s="1">
        <v>57</v>
      </c>
      <c r="B58" s="1" t="s">
        <v>14</v>
      </c>
      <c r="C58" s="1">
        <v>2018</v>
      </c>
      <c r="D58" s="14">
        <f>57675937000+1551075080000+91961736000+2401787349000+'ch receivable'!D57</f>
        <v>19797069229000</v>
      </c>
      <c r="E58" s="15">
        <f>4393198000+20636380394000+1835799330000+65331129000+73621459000</f>
        <v>22615525510000</v>
      </c>
      <c r="F58" s="11">
        <f t="shared" si="0"/>
        <v>-2818456281000</v>
      </c>
      <c r="G58" s="11">
        <f>F58-F57</f>
        <v>591170429000</v>
      </c>
    </row>
    <row r="59" spans="1:7" x14ac:dyDescent="0.35">
      <c r="A59" s="1">
        <v>58</v>
      </c>
      <c r="B59" s="1" t="s">
        <v>14</v>
      </c>
      <c r="C59" s="1">
        <v>2019</v>
      </c>
      <c r="D59" s="14">
        <f>40655817000+1810636332000+125446536000+306638566000+'ch receivable'!D59</f>
        <v>19404658911000</v>
      </c>
      <c r="E59" s="15">
        <f>2077421000+21791637063000+909309808000+29976241000+65755469000</f>
        <v>22798756002000</v>
      </c>
      <c r="F59" s="11">
        <f t="shared" si="0"/>
        <v>-3394097091000</v>
      </c>
      <c r="G59" s="11">
        <f t="shared" ref="G59:G61" si="12">F59-F58</f>
        <v>-575640810000</v>
      </c>
    </row>
    <row r="60" spans="1:7" x14ac:dyDescent="0.35">
      <c r="A60" s="1">
        <v>59</v>
      </c>
      <c r="B60" s="1" t="s">
        <v>14</v>
      </c>
      <c r="C60" s="1">
        <v>2020</v>
      </c>
      <c r="D60" s="14">
        <f>61723223000+612623334000+184920912000+1692224733000+'ch receivable'!D60</f>
        <v>16797468234000</v>
      </c>
      <c r="E60" s="15">
        <f>22197849857000-1544029002-179217199000</f>
        <v>22017088628998</v>
      </c>
      <c r="F60" s="11">
        <f t="shared" si="0"/>
        <v>-5219620394998</v>
      </c>
      <c r="G60" s="11">
        <f t="shared" si="12"/>
        <v>-1825523303998</v>
      </c>
    </row>
    <row r="61" spans="1:7" x14ac:dyDescent="0.35">
      <c r="A61" s="1">
        <v>60</v>
      </c>
      <c r="B61" s="1" t="s">
        <v>14</v>
      </c>
      <c r="C61" s="1">
        <v>2021</v>
      </c>
      <c r="D61" s="14">
        <f>53929444000+663113716000+405666998000+762366332000+'ch receivable'!D61</f>
        <v>16671877148000</v>
      </c>
      <c r="E61" s="15">
        <f>335926000+18084871983000+1037173068000+12584904000+43884161000</f>
        <v>19178850042000</v>
      </c>
      <c r="F61" s="11">
        <f t="shared" si="0"/>
        <v>-2506972894000</v>
      </c>
      <c r="G61" s="11">
        <f t="shared" si="12"/>
        <v>2712647500998</v>
      </c>
    </row>
    <row r="62" spans="1:7" x14ac:dyDescent="0.35">
      <c r="A62" s="1">
        <v>61</v>
      </c>
      <c r="B62" s="1" t="s">
        <v>15</v>
      </c>
      <c r="C62" s="1">
        <v>2017</v>
      </c>
      <c r="D62" s="14">
        <f>28547330000+'ch receivable'!D62</f>
        <v>9648151869000</v>
      </c>
      <c r="E62" s="15">
        <f>4777179002000+88531344000+39943197000+31438617000</f>
        <v>4937092160000</v>
      </c>
      <c r="F62" s="11">
        <f t="shared" si="0"/>
        <v>4711059709000</v>
      </c>
      <c r="G62" s="9"/>
    </row>
    <row r="63" spans="1:7" x14ac:dyDescent="0.35">
      <c r="A63" s="1">
        <v>62</v>
      </c>
      <c r="B63" s="1" t="s">
        <v>15</v>
      </c>
      <c r="C63" s="1">
        <v>2018</v>
      </c>
      <c r="D63" s="14">
        <f>53010796000+'ch receivable'!D63</f>
        <v>10785637226000</v>
      </c>
      <c r="E63" s="15">
        <f>4312284028000+53243540000+54418060000+40007144000</f>
        <v>4459952772000</v>
      </c>
      <c r="F63" s="11">
        <f t="shared" si="0"/>
        <v>6325684454000</v>
      </c>
      <c r="G63" s="11">
        <f>F63-F62</f>
        <v>1614624745000</v>
      </c>
    </row>
    <row r="64" spans="1:7" x14ac:dyDescent="0.35">
      <c r="A64" s="1">
        <v>63</v>
      </c>
      <c r="B64" s="1" t="s">
        <v>15</v>
      </c>
      <c r="C64" s="1">
        <v>2019</v>
      </c>
      <c r="D64" s="14">
        <f>104364990000+'ch receivable'!D64</f>
        <v>11824160110000</v>
      </c>
      <c r="E64" s="15">
        <f>4956259274000+68766612000+57884367000+21524555000</f>
        <v>5104434808000</v>
      </c>
      <c r="F64" s="11">
        <f t="shared" si="0"/>
        <v>6719725302000</v>
      </c>
      <c r="G64" s="11">
        <f t="shared" ref="G64:G66" si="13">F64-F63</f>
        <v>394040848000</v>
      </c>
    </row>
    <row r="65" spans="1:7" x14ac:dyDescent="0.35">
      <c r="A65" s="1">
        <v>64</v>
      </c>
      <c r="B65" s="1" t="s">
        <v>15</v>
      </c>
      <c r="C65" s="1">
        <v>2020</v>
      </c>
      <c r="D65" s="14">
        <f>1924784701000+'ch receivable'!D65</f>
        <v>10644136835000</v>
      </c>
      <c r="E65" s="15">
        <f>3893526206000+17887435000+4029525000+61302666000</f>
        <v>3976745832000</v>
      </c>
      <c r="F65" s="11">
        <f t="shared" si="0"/>
        <v>6667391003000</v>
      </c>
      <c r="G65" s="11">
        <f t="shared" si="13"/>
        <v>-52334299000</v>
      </c>
    </row>
    <row r="66" spans="1:7" x14ac:dyDescent="0.35">
      <c r="A66" s="1">
        <v>65</v>
      </c>
      <c r="B66" s="1" t="s">
        <v>15</v>
      </c>
      <c r="C66" s="1">
        <v>2021</v>
      </c>
      <c r="D66" s="14">
        <f>126780101000+'ch receivable'!D66</f>
        <v>6535206225000</v>
      </c>
      <c r="E66" s="15">
        <f>1992299748000+55702975000+37155561000+38618480000</f>
        <v>2123776764000</v>
      </c>
      <c r="F66" s="11">
        <f t="shared" si="0"/>
        <v>4411429461000</v>
      </c>
      <c r="G66" s="11">
        <f t="shared" si="13"/>
        <v>-2255961542000</v>
      </c>
    </row>
    <row r="67" spans="1:7" x14ac:dyDescent="0.35">
      <c r="A67" s="1">
        <v>66</v>
      </c>
      <c r="B67" s="1" t="s">
        <v>16</v>
      </c>
      <c r="C67" s="1">
        <v>2017</v>
      </c>
      <c r="D67" s="14">
        <f>110112228000+13400000000+'ch receivable'!D67</f>
        <v>3759856401000</v>
      </c>
      <c r="E67" s="15">
        <f>2278431361000+5067916000+20732488000</f>
        <v>2304231765000</v>
      </c>
      <c r="F67" s="11">
        <f t="shared" ref="F67:F130" si="14">D67-E67</f>
        <v>1455624636000</v>
      </c>
      <c r="G67" s="9"/>
    </row>
    <row r="68" spans="1:7" x14ac:dyDescent="0.35">
      <c r="A68" s="1">
        <v>67</v>
      </c>
      <c r="B68" s="1" t="s">
        <v>16</v>
      </c>
      <c r="C68" s="1">
        <v>2018</v>
      </c>
      <c r="D68" s="14">
        <f>313071246000+'ch receivable'!D68</f>
        <v>1929809609000</v>
      </c>
      <c r="E68" s="15">
        <f>1253447628000+996007000+20133766000</f>
        <v>1274577401000</v>
      </c>
      <c r="F68" s="11">
        <f t="shared" si="14"/>
        <v>655232208000</v>
      </c>
      <c r="G68" s="11">
        <f>F68-F67</f>
        <v>-800392428000</v>
      </c>
    </row>
    <row r="69" spans="1:7" x14ac:dyDescent="0.35">
      <c r="A69" s="1">
        <v>68</v>
      </c>
      <c r="B69" s="1" t="s">
        <v>16</v>
      </c>
      <c r="C69" s="1">
        <v>2019</v>
      </c>
      <c r="D69" s="14">
        <f>458031964000+5274544000+'ch receivable'!D69</f>
        <v>1017146669000</v>
      </c>
      <c r="E69" s="15">
        <f>474112492000+350266000+52854105000</f>
        <v>527316863000</v>
      </c>
      <c r="F69" s="11">
        <f t="shared" si="14"/>
        <v>489829806000</v>
      </c>
      <c r="G69" s="11">
        <f t="shared" ref="G69:G71" si="15">F69-F68</f>
        <v>-165402402000</v>
      </c>
    </row>
    <row r="70" spans="1:7" x14ac:dyDescent="0.35">
      <c r="A70" s="1">
        <v>69</v>
      </c>
      <c r="B70" s="1" t="s">
        <v>16</v>
      </c>
      <c r="C70" s="1">
        <v>2020</v>
      </c>
      <c r="D70" s="14">
        <f>265588728000+22267157000+'ch receivable'!D70</f>
        <v>624950495000</v>
      </c>
      <c r="E70" s="15">
        <f>185543806000+15534000+204672000+24797857000</f>
        <v>210561869000</v>
      </c>
      <c r="F70" s="11">
        <f t="shared" si="14"/>
        <v>414388626000</v>
      </c>
      <c r="G70" s="11">
        <f t="shared" si="15"/>
        <v>-75441180000</v>
      </c>
    </row>
    <row r="71" spans="1:7" x14ac:dyDescent="0.35">
      <c r="A71" s="1">
        <v>70</v>
      </c>
      <c r="B71" s="1" t="s">
        <v>16</v>
      </c>
      <c r="C71" s="1">
        <v>2021</v>
      </c>
      <c r="D71" s="14">
        <f>90219758000+12250000+'ch receivable'!D71</f>
        <v>1116346993000</v>
      </c>
      <c r="E71" s="15">
        <f>545484500000+518376000+8398769000</f>
        <v>554401645000</v>
      </c>
      <c r="F71" s="11">
        <f t="shared" si="14"/>
        <v>561945348000</v>
      </c>
      <c r="G71" s="11">
        <f t="shared" si="15"/>
        <v>147556722000</v>
      </c>
    </row>
    <row r="72" spans="1:7" x14ac:dyDescent="0.35">
      <c r="A72" s="1">
        <v>71</v>
      </c>
      <c r="B72" s="1" t="s">
        <v>17</v>
      </c>
      <c r="C72" s="1">
        <v>2017</v>
      </c>
      <c r="D72" s="14">
        <f>54985000000+7145888000000+'ch receivable'!D72</f>
        <v>62549456000000</v>
      </c>
      <c r="E72" s="15">
        <f>360322000000+1123803000000+61509693000000+4202000000+80831000000+301712000000</f>
        <v>63380563000000</v>
      </c>
      <c r="F72" s="11">
        <f t="shared" si="14"/>
        <v>-831107000000</v>
      </c>
      <c r="G72" s="9"/>
    </row>
    <row r="73" spans="1:7" x14ac:dyDescent="0.35">
      <c r="A73" s="1">
        <v>72</v>
      </c>
      <c r="B73" s="1" t="s">
        <v>17</v>
      </c>
      <c r="C73" s="1">
        <v>2018</v>
      </c>
      <c r="D73" s="14">
        <f>63474000000+6664797000000+'ch receivable'!D73</f>
        <v>70315020000000</v>
      </c>
      <c r="E73" s="15">
        <f>379174000000+1413974000000+70096562000000+6167000000+128770000000+301433000000</f>
        <v>72326080000000</v>
      </c>
      <c r="F73" s="11">
        <f t="shared" si="14"/>
        <v>-2011060000000</v>
      </c>
      <c r="G73" s="11">
        <f>F73-F72</f>
        <v>-1179953000000</v>
      </c>
    </row>
    <row r="74" spans="1:7" x14ac:dyDescent="0.35">
      <c r="A74" s="1">
        <v>73</v>
      </c>
      <c r="B74" s="1" t="s">
        <v>17</v>
      </c>
      <c r="C74" s="1">
        <v>2019</v>
      </c>
      <c r="D74" s="14">
        <f>230306000000+4948349000000+74330000000+3267323000000+'ch receivable'!D74</f>
        <v>77587817000000</v>
      </c>
      <c r="E74" s="15">
        <f>368475000000+77009109000000+2800000000+170402000000+366965000000</f>
        <v>77917751000000</v>
      </c>
      <c r="F74" s="11">
        <f t="shared" si="14"/>
        <v>-329934000000</v>
      </c>
      <c r="G74" s="11">
        <f t="shared" ref="G74:G76" si="16">F74-F73</f>
        <v>1681126000000</v>
      </c>
    </row>
    <row r="75" spans="1:7" x14ac:dyDescent="0.35">
      <c r="A75" s="1">
        <v>74</v>
      </c>
      <c r="B75" s="1" t="s">
        <v>17</v>
      </c>
      <c r="C75" s="1">
        <v>2020</v>
      </c>
      <c r="D75" s="14">
        <f>291498000000+2169548000000+1020397000000+6982761000000+'ch receivable'!D75</f>
        <v>64369231000000</v>
      </c>
      <c r="E75" s="15">
        <f>319304000000+72357421000000+2769865000000+108617000000+447323000000</f>
        <v>76002530000000</v>
      </c>
      <c r="F75" s="11">
        <f t="shared" si="14"/>
        <v>-11633299000000</v>
      </c>
      <c r="G75" s="11">
        <f t="shared" si="16"/>
        <v>-11303365000000</v>
      </c>
    </row>
    <row r="76" spans="1:7" x14ac:dyDescent="0.35">
      <c r="A76" s="1">
        <v>75</v>
      </c>
      <c r="B76" s="1" t="s">
        <v>17</v>
      </c>
      <c r="C76" s="1">
        <v>2021</v>
      </c>
      <c r="D76" s="14">
        <f>285992000000+3508714000000+913767000000+'ch receivable'!D76</f>
        <v>74269770000000</v>
      </c>
      <c r="E76" s="15">
        <f>334117000000+98720992000000+3459974000000+105401000000+385456000000</f>
        <v>103005940000000</v>
      </c>
      <c r="F76" s="11">
        <f t="shared" si="14"/>
        <v>-28736170000000</v>
      </c>
      <c r="G76" s="11">
        <f t="shared" si="16"/>
        <v>-17102871000000</v>
      </c>
    </row>
    <row r="77" spans="1:7" x14ac:dyDescent="0.35">
      <c r="A77" s="1">
        <v>76</v>
      </c>
      <c r="B77" s="1" t="s">
        <v>18</v>
      </c>
      <c r="C77" s="1">
        <v>2017</v>
      </c>
      <c r="D77" s="14">
        <f>31223978665+'ch receivable'!D77</f>
        <v>69456523574</v>
      </c>
      <c r="E77" s="15">
        <v>21883000000</v>
      </c>
      <c r="F77" s="11">
        <f t="shared" si="14"/>
        <v>47573523574</v>
      </c>
      <c r="G77" s="9"/>
    </row>
    <row r="78" spans="1:7" x14ac:dyDescent="0.35">
      <c r="A78" s="1">
        <v>77</v>
      </c>
      <c r="B78" s="1" t="s">
        <v>18</v>
      </c>
      <c r="C78" s="1">
        <v>2018</v>
      </c>
      <c r="D78" s="14">
        <f>13789678117+'ch receivable'!D78</f>
        <v>35443615175</v>
      </c>
      <c r="E78" s="15">
        <v>18396000000</v>
      </c>
      <c r="F78" s="11">
        <f t="shared" si="14"/>
        <v>17047615175</v>
      </c>
      <c r="G78" s="11">
        <f>F78-F77</f>
        <v>-30525908399</v>
      </c>
    </row>
    <row r="79" spans="1:7" x14ac:dyDescent="0.35">
      <c r="A79" s="1">
        <v>78</v>
      </c>
      <c r="B79" s="1" t="s">
        <v>18</v>
      </c>
      <c r="C79" s="1">
        <v>2019</v>
      </c>
      <c r="D79" s="14">
        <f>11064399913+'ch receivable'!D79</f>
        <v>24185104415</v>
      </c>
      <c r="E79" s="15">
        <v>11557000000</v>
      </c>
      <c r="F79" s="11">
        <f t="shared" si="14"/>
        <v>12628104415</v>
      </c>
      <c r="G79" s="11">
        <f t="shared" ref="G79:G80" si="17">F79-F78</f>
        <v>-4419510760</v>
      </c>
    </row>
    <row r="80" spans="1:7" x14ac:dyDescent="0.35">
      <c r="A80" s="1">
        <v>79</v>
      </c>
      <c r="B80" s="1" t="s">
        <v>18</v>
      </c>
      <c r="C80" s="1">
        <v>2020</v>
      </c>
      <c r="D80" s="14">
        <f>5645060299+'ch receivable'!D80</f>
        <v>27824172197</v>
      </c>
      <c r="E80" s="15">
        <v>19252000000</v>
      </c>
      <c r="F80" s="11">
        <f t="shared" si="14"/>
        <v>8572172197</v>
      </c>
      <c r="G80" s="11">
        <f t="shared" si="17"/>
        <v>-4055932218</v>
      </c>
    </row>
    <row r="81" spans="1:7" x14ac:dyDescent="0.35">
      <c r="A81" s="1">
        <v>80</v>
      </c>
      <c r="B81" s="1" t="s">
        <v>18</v>
      </c>
      <c r="C81" s="1">
        <v>2021</v>
      </c>
      <c r="D81" s="14">
        <f>9312168150+'ch receivable'!D81</f>
        <v>18258620939</v>
      </c>
      <c r="E81" s="15">
        <v>8897000000</v>
      </c>
      <c r="F81" s="11">
        <f t="shared" si="14"/>
        <v>9361620939</v>
      </c>
      <c r="G81" s="11">
        <f>F81-F80</f>
        <v>789448742</v>
      </c>
    </row>
    <row r="82" spans="1:7" x14ac:dyDescent="0.35">
      <c r="A82" s="1">
        <v>81</v>
      </c>
      <c r="B82" s="1" t="s">
        <v>19</v>
      </c>
      <c r="C82" s="1">
        <v>2017</v>
      </c>
      <c r="D82" s="14">
        <f>3473238000000+'ch receivable'!D82+25338000000+3369000000</f>
        <v>3635822000000</v>
      </c>
      <c r="E82" s="15">
        <f>132865000000+13973000000+55100000000+39604000000</f>
        <v>241542000000</v>
      </c>
      <c r="F82" s="11">
        <f t="shared" si="14"/>
        <v>3394280000000</v>
      </c>
      <c r="G82" s="9"/>
    </row>
    <row r="83" spans="1:7" x14ac:dyDescent="0.35">
      <c r="A83" s="1">
        <v>82</v>
      </c>
      <c r="B83" s="1" t="s">
        <v>19</v>
      </c>
      <c r="C83" s="1">
        <v>2018</v>
      </c>
      <c r="D83" s="14">
        <f>3791567000000+23105000000+67000000+'ch receivable'!D83</f>
        <v>3988086000000</v>
      </c>
      <c r="E83" s="15">
        <f>160354000000+3467000000+40448000000+45745000000+40236000000</f>
        <v>290250000000</v>
      </c>
      <c r="F83" s="11">
        <f t="shared" si="14"/>
        <v>3697836000000</v>
      </c>
      <c r="G83" s="11">
        <f>F83-F82</f>
        <v>303556000000</v>
      </c>
    </row>
    <row r="84" spans="1:7" x14ac:dyDescent="0.35">
      <c r="A84" s="1">
        <v>83</v>
      </c>
      <c r="B84" s="1" t="s">
        <v>19</v>
      </c>
      <c r="C84" s="1">
        <v>2019</v>
      </c>
      <c r="D84" s="14">
        <f>39607000000+3869897000000+4000000+'ch receivable'!D84</f>
        <v>4132189000000</v>
      </c>
      <c r="E84" s="15">
        <f>206457000000+3596000000+52931000000+50325000000</f>
        <v>313309000000</v>
      </c>
      <c r="F84" s="11">
        <f t="shared" si="14"/>
        <v>3818880000000</v>
      </c>
      <c r="G84" s="11">
        <f t="shared" ref="G84:G86" si="18">F84-F83</f>
        <v>121044000000</v>
      </c>
    </row>
    <row r="85" spans="1:7" x14ac:dyDescent="0.35">
      <c r="A85" s="1">
        <v>84</v>
      </c>
      <c r="B85" s="1" t="s">
        <v>19</v>
      </c>
      <c r="C85" s="1">
        <v>2020</v>
      </c>
      <c r="D85" s="14">
        <f>5615213000000+68365000000+73000000+'ch receivable'!D85</f>
        <v>6003987000000</v>
      </c>
      <c r="E85" s="15">
        <f>301744000000+3477000000+53090000000+53328000000</f>
        <v>411639000000</v>
      </c>
      <c r="F85" s="11">
        <f t="shared" si="14"/>
        <v>5592348000000</v>
      </c>
      <c r="G85" s="11">
        <f t="shared" si="18"/>
        <v>1773468000000</v>
      </c>
    </row>
    <row r="86" spans="1:7" x14ac:dyDescent="0.35">
      <c r="A86" s="1">
        <v>85</v>
      </c>
      <c r="B86" s="1" t="s">
        <v>19</v>
      </c>
      <c r="C86" s="1">
        <v>2021</v>
      </c>
      <c r="D86" s="14">
        <f>5988442000000+69001000000+116000000+'ch receivable'!D86</f>
        <v>6403757000000</v>
      </c>
      <c r="E86" s="15">
        <f>199177000000+4413000000+62717000000+43370000000</f>
        <v>309677000000</v>
      </c>
      <c r="F86" s="11">
        <f t="shared" si="14"/>
        <v>6094080000000</v>
      </c>
      <c r="G86" s="11">
        <f t="shared" si="18"/>
        <v>501732000000</v>
      </c>
    </row>
    <row r="87" spans="1:7" x14ac:dyDescent="0.35">
      <c r="A87" s="1">
        <v>86</v>
      </c>
      <c r="B87" s="1" t="s">
        <v>20</v>
      </c>
      <c r="C87" s="1">
        <v>2017</v>
      </c>
      <c r="D87" s="14">
        <f>231509000000+2146912000000+148392000000+840996000000+'ch receivable'!D87</f>
        <v>22070684000000</v>
      </c>
      <c r="E87" s="15">
        <f>16928615000000+87126000000+42004000000+16888000000+2035125000000+50822000000+2035125000000</f>
        <v>21195705000000</v>
      </c>
      <c r="F87" s="11">
        <f t="shared" si="14"/>
        <v>874979000000</v>
      </c>
      <c r="G87" s="9"/>
    </row>
    <row r="88" spans="1:7" x14ac:dyDescent="0.35">
      <c r="A88" s="1">
        <v>87</v>
      </c>
      <c r="B88" s="1" t="s">
        <v>20</v>
      </c>
      <c r="C88" s="1">
        <v>2018</v>
      </c>
      <c r="D88" s="14">
        <f>317707000000+1787472000000+135408000000+'ch receivable'!D88</f>
        <v>24849398000000</v>
      </c>
      <c r="E88" s="15">
        <f>15391187000000+84576000000+1664000000+17828000000+4745400000000+45790000000</f>
        <v>20286445000000</v>
      </c>
      <c r="F88" s="11">
        <f t="shared" si="14"/>
        <v>4562953000000</v>
      </c>
      <c r="G88" s="11">
        <f>F88-F87</f>
        <v>3687974000000</v>
      </c>
    </row>
    <row r="89" spans="1:7" x14ac:dyDescent="0.35">
      <c r="A89" s="1">
        <v>88</v>
      </c>
      <c r="B89" s="1" t="s">
        <v>20</v>
      </c>
      <c r="C89" s="1">
        <v>2019</v>
      </c>
      <c r="D89" s="14">
        <f>347521000000+2153248000000+450351000000+2375870000000+'ch receivable'!D89</f>
        <v>32396746000000</v>
      </c>
      <c r="E89" s="15">
        <f>19065370000000+153093000000+2285000000+24398000000+8024775000000+41440000000</f>
        <v>27311361000000</v>
      </c>
      <c r="F89" s="11">
        <f t="shared" si="14"/>
        <v>5085385000000</v>
      </c>
      <c r="G89" s="11">
        <f t="shared" ref="G89:G91" si="19">F89-F88</f>
        <v>522432000000</v>
      </c>
    </row>
    <row r="90" spans="1:7" x14ac:dyDescent="0.35">
      <c r="A90" s="1">
        <v>89</v>
      </c>
      <c r="B90" s="1" t="s">
        <v>20</v>
      </c>
      <c r="C90" s="1">
        <v>2020</v>
      </c>
      <c r="D90" s="14">
        <f>394228000000+1115558000000+328308000000+901236000000+'ch receivable'!D90</f>
        <v>32984592000000</v>
      </c>
      <c r="E90" s="15">
        <f>18492074000000+104339000000+31525000000+18104000000+10858500000000+47129000000</f>
        <v>29551671000000</v>
      </c>
      <c r="F90" s="11">
        <f t="shared" si="14"/>
        <v>3432921000000</v>
      </c>
      <c r="G90" s="11">
        <f t="shared" si="19"/>
        <v>-1652464000000</v>
      </c>
    </row>
    <row r="91" spans="1:7" x14ac:dyDescent="0.35">
      <c r="A91" s="1">
        <v>90</v>
      </c>
      <c r="B91" s="1" t="s">
        <v>20</v>
      </c>
      <c r="C91" s="1">
        <v>2021</v>
      </c>
      <c r="D91" s="14">
        <f>417810000000+1317798000000+222075000000+1960745000000+'ch receivable'!D91</f>
        <v>37679601000000</v>
      </c>
      <c r="E91" s="15">
        <f>23848020000000+66983000000+36120000000+17623000000+8941200000000+47129000000</f>
        <v>32957075000000</v>
      </c>
      <c r="F91" s="11">
        <f t="shared" si="14"/>
        <v>4722526000000</v>
      </c>
      <c r="G91" s="11">
        <f t="shared" si="19"/>
        <v>1289605000000</v>
      </c>
    </row>
    <row r="92" spans="1:7" x14ac:dyDescent="0.35">
      <c r="A92" s="1">
        <v>91</v>
      </c>
      <c r="B92" s="1" t="s">
        <v>21</v>
      </c>
      <c r="C92" s="1">
        <v>2017</v>
      </c>
      <c r="D92" s="14">
        <f>4351508000000+845229000000+'ch receivable'!D92</f>
        <v>31297311000000</v>
      </c>
      <c r="E92" s="15">
        <f>23744668000000+152099000000+221840000000+2705859000000</f>
        <v>26824466000000</v>
      </c>
      <c r="F92" s="11">
        <f t="shared" si="14"/>
        <v>4472845000000</v>
      </c>
      <c r="G92" s="9"/>
    </row>
    <row r="93" spans="1:7" x14ac:dyDescent="0.35">
      <c r="A93" s="1">
        <v>92</v>
      </c>
      <c r="B93" s="1" t="s">
        <v>21</v>
      </c>
      <c r="C93" s="1">
        <v>2018</v>
      </c>
      <c r="D93" s="14">
        <f>3980657000000+1688695000000+'ch receivable'!D93</f>
        <v>34542046000000</v>
      </c>
      <c r="E93" s="17">
        <f>24457183000000+95891000000+194613000000+3090368000000</f>
        <v>27838055000000</v>
      </c>
      <c r="F93" s="11">
        <f>D93-E93</f>
        <v>6703991000000</v>
      </c>
      <c r="G93" s="11">
        <f>F93-F92</f>
        <v>2231146000000</v>
      </c>
    </row>
    <row r="94" spans="1:7" x14ac:dyDescent="0.35">
      <c r="A94" s="1">
        <v>93</v>
      </c>
      <c r="B94" s="1" t="s">
        <v>21</v>
      </c>
      <c r="C94" s="1">
        <v>2019</v>
      </c>
      <c r="D94" s="14">
        <f>3563777000000+1785782000000+'ch receivable'!D94</f>
        <v>37117536000000</v>
      </c>
      <c r="E94" s="15">
        <f>28911530000000+98609000000+195530000000+3140301000000</f>
        <v>32345970000000</v>
      </c>
      <c r="F94" s="11">
        <f>D94-E94</f>
        <v>4771566000000</v>
      </c>
      <c r="G94" s="11">
        <f>F94-F93</f>
        <v>-1932425000000</v>
      </c>
    </row>
    <row r="95" spans="1:7" x14ac:dyDescent="0.35">
      <c r="A95" s="1">
        <v>94</v>
      </c>
      <c r="B95" s="1" t="s">
        <v>21</v>
      </c>
      <c r="C95" s="1">
        <v>2020</v>
      </c>
      <c r="D95" s="14">
        <f>2154135000000+4935948000000+'ch receivable'!D95</f>
        <v>35519474000000</v>
      </c>
      <c r="E95" s="15">
        <f>35177072000000+143900000000+253640000000+3013529000000</f>
        <v>38588141000000</v>
      </c>
      <c r="F95" s="11">
        <f t="shared" si="14"/>
        <v>-3068667000000</v>
      </c>
      <c r="G95" s="11">
        <f t="shared" ref="G95:G96" si="20">F95-F94</f>
        <v>-7840233000000</v>
      </c>
    </row>
    <row r="96" spans="1:7" x14ac:dyDescent="0.35">
      <c r="A96" s="1">
        <v>95</v>
      </c>
      <c r="B96" s="1" t="s">
        <v>21</v>
      </c>
      <c r="C96" s="1">
        <v>2021</v>
      </c>
      <c r="D96" s="14">
        <f>6413194000000+2820547000000+'ch receivable'!D96</f>
        <v>34553205000000</v>
      </c>
      <c r="E96" s="15">
        <f>42257556000000+119985000000+237008000000+3485895000000</f>
        <v>46100444000000</v>
      </c>
      <c r="F96" s="11">
        <f t="shared" si="14"/>
        <v>-11547239000000</v>
      </c>
      <c r="G96" s="11">
        <f t="shared" si="20"/>
        <v>-8478572000000</v>
      </c>
    </row>
    <row r="97" spans="1:7" x14ac:dyDescent="0.35">
      <c r="A97" s="1">
        <v>96</v>
      </c>
      <c r="B97" s="1" t="s">
        <v>22</v>
      </c>
      <c r="C97" s="1">
        <v>2017</v>
      </c>
      <c r="D97" s="14">
        <f>684303000000+'ch receivable'!D97</f>
        <v>7538515000000</v>
      </c>
      <c r="E97" s="15">
        <f>3082884000000+69022000000+30000000+148307000000</f>
        <v>3300243000000</v>
      </c>
      <c r="F97" s="11">
        <f t="shared" si="14"/>
        <v>4238272000000</v>
      </c>
      <c r="G97" s="9"/>
    </row>
    <row r="98" spans="1:7" x14ac:dyDescent="0.35">
      <c r="A98" s="1">
        <v>97</v>
      </c>
      <c r="B98" s="1" t="s">
        <v>22</v>
      </c>
      <c r="C98" s="1">
        <v>2018</v>
      </c>
      <c r="D98" s="14">
        <f>1243576000000+'ch receivable'!D98</f>
        <v>8558988000000</v>
      </c>
      <c r="E98" s="15">
        <f>4559701000000+96114000000+3093000000+128944000000</f>
        <v>4787852000000</v>
      </c>
      <c r="F98" s="11">
        <f t="shared" si="14"/>
        <v>3771136000000</v>
      </c>
      <c r="G98" s="11">
        <f>F98-F97</f>
        <v>-467136000000</v>
      </c>
    </row>
    <row r="99" spans="1:7" x14ac:dyDescent="0.35">
      <c r="A99" s="1">
        <v>98</v>
      </c>
      <c r="B99" s="1" t="s">
        <v>22</v>
      </c>
      <c r="C99" s="1">
        <v>2019</v>
      </c>
      <c r="D99" s="14">
        <f>751561000000+'ch receivable'!D99</f>
        <v>8003350000000</v>
      </c>
      <c r="E99" s="15">
        <f>3622876000000+92563000000+39337000000+135970000000</f>
        <v>3890746000000</v>
      </c>
      <c r="F99" s="11">
        <f t="shared" si="14"/>
        <v>4112604000000</v>
      </c>
      <c r="G99" s="11">
        <f t="shared" ref="G99:G101" si="21">F99-F98</f>
        <v>341468000000</v>
      </c>
    </row>
    <row r="100" spans="1:7" x14ac:dyDescent="0.35">
      <c r="A100" s="1">
        <v>99</v>
      </c>
      <c r="B100" s="1" t="s">
        <v>22</v>
      </c>
      <c r="C100" s="1">
        <v>2020</v>
      </c>
      <c r="D100" s="14">
        <f>634520000000+'ch receivable'!D100</f>
        <v>4996069000000</v>
      </c>
      <c r="E100" s="15">
        <f>1743411000000+40470000000+2564000000+126636000000</f>
        <v>1913081000000</v>
      </c>
      <c r="F100" s="11">
        <f t="shared" si="14"/>
        <v>3082988000000</v>
      </c>
      <c r="G100" s="11">
        <f t="shared" si="21"/>
        <v>-1029616000000</v>
      </c>
    </row>
    <row r="101" spans="1:7" x14ac:dyDescent="0.35">
      <c r="A101" s="1">
        <v>100</v>
      </c>
      <c r="B101" s="1" t="s">
        <v>22</v>
      </c>
      <c r="C101" s="1">
        <v>2021</v>
      </c>
      <c r="D101" s="14">
        <f>448752000000+'ch receivable'!D101</f>
        <v>4888597000000</v>
      </c>
      <c r="E101" s="15">
        <f>1967885000000+49684000000+23689000000+100244000000</f>
        <v>2141502000000</v>
      </c>
      <c r="F101" s="11">
        <f t="shared" si="14"/>
        <v>2747095000000</v>
      </c>
      <c r="G101" s="11">
        <f t="shared" si="21"/>
        <v>-335893000000</v>
      </c>
    </row>
    <row r="102" spans="1:7" ht="15.5" x14ac:dyDescent="0.35">
      <c r="A102" s="1">
        <v>101</v>
      </c>
      <c r="B102" s="2" t="s">
        <v>78</v>
      </c>
      <c r="C102" s="25">
        <v>2017</v>
      </c>
      <c r="D102" s="7">
        <v>721510987000</v>
      </c>
      <c r="E102" s="32">
        <v>176500611000</v>
      </c>
      <c r="F102" s="11">
        <f t="shared" si="14"/>
        <v>545010376000</v>
      </c>
      <c r="G102" s="9"/>
    </row>
    <row r="103" spans="1:7" ht="15.5" x14ac:dyDescent="0.35">
      <c r="A103" s="1">
        <v>102</v>
      </c>
      <c r="B103" s="2"/>
      <c r="C103" s="25">
        <v>2018</v>
      </c>
      <c r="D103" s="7">
        <v>686071076000</v>
      </c>
      <c r="E103" s="32">
        <v>121915237000</v>
      </c>
      <c r="F103" s="11">
        <f t="shared" si="14"/>
        <v>564155839000</v>
      </c>
      <c r="G103" s="11">
        <f>F103-F102</f>
        <v>19145463000</v>
      </c>
    </row>
    <row r="104" spans="1:7" ht="15.5" x14ac:dyDescent="0.35">
      <c r="A104" s="1">
        <v>103</v>
      </c>
      <c r="B104" s="2"/>
      <c r="C104" s="25">
        <v>2019</v>
      </c>
      <c r="D104" s="7">
        <v>746868120000</v>
      </c>
      <c r="E104" s="32">
        <v>199803553000</v>
      </c>
      <c r="F104" s="11">
        <f t="shared" si="14"/>
        <v>547064567000</v>
      </c>
      <c r="G104" s="11">
        <f t="shared" ref="G104:G106" si="22">F104-F103</f>
        <v>-17091272000</v>
      </c>
    </row>
    <row r="105" spans="1:7" ht="15.5" x14ac:dyDescent="0.35">
      <c r="A105" s="1">
        <v>104</v>
      </c>
      <c r="B105" s="2"/>
      <c r="C105" s="25">
        <v>2020</v>
      </c>
      <c r="D105" s="7">
        <v>471567395000</v>
      </c>
      <c r="E105" s="32">
        <v>114681371000</v>
      </c>
      <c r="F105" s="11">
        <f t="shared" si="14"/>
        <v>356886024000</v>
      </c>
      <c r="G105" s="11">
        <f t="shared" si="22"/>
        <v>-190178543000</v>
      </c>
    </row>
    <row r="106" spans="1:7" ht="15.5" x14ac:dyDescent="0.35">
      <c r="A106" s="1">
        <v>105</v>
      </c>
      <c r="B106" s="2"/>
      <c r="C106" s="25">
        <v>2021</v>
      </c>
      <c r="D106" s="7">
        <v>423160864000</v>
      </c>
      <c r="E106" s="32">
        <v>111530555000</v>
      </c>
      <c r="F106" s="11">
        <f t="shared" si="14"/>
        <v>311630309000</v>
      </c>
      <c r="G106" s="11">
        <f t="shared" si="22"/>
        <v>-45255715000</v>
      </c>
    </row>
    <row r="107" spans="1:7" ht="15.5" x14ac:dyDescent="0.35">
      <c r="A107" s="1">
        <v>106</v>
      </c>
      <c r="B107" s="2" t="s">
        <v>79</v>
      </c>
      <c r="C107" s="25">
        <v>2017</v>
      </c>
      <c r="D107" s="7">
        <v>81374623000000</v>
      </c>
      <c r="E107" s="32">
        <v>90837717000000</v>
      </c>
      <c r="F107" s="11">
        <f t="shared" si="14"/>
        <v>-9463094000000</v>
      </c>
      <c r="G107" s="9"/>
    </row>
    <row r="108" spans="1:7" ht="15.5" x14ac:dyDescent="0.35">
      <c r="A108" s="1">
        <v>107</v>
      </c>
      <c r="B108" s="2"/>
      <c r="C108" s="25">
        <v>2018</v>
      </c>
      <c r="D108" s="7">
        <v>76505788000000</v>
      </c>
      <c r="E108" s="32">
        <v>79568020000000</v>
      </c>
      <c r="F108" s="11">
        <f t="shared" si="14"/>
        <v>-3062232000000</v>
      </c>
      <c r="G108" s="11">
        <f>F108-F107</f>
        <v>6400862000000</v>
      </c>
    </row>
    <row r="109" spans="1:7" ht="15.5" x14ac:dyDescent="0.35">
      <c r="A109" s="1">
        <v>108</v>
      </c>
      <c r="B109" s="2"/>
      <c r="C109" s="25">
        <v>2019</v>
      </c>
      <c r="D109" s="7">
        <v>78599168000000</v>
      </c>
      <c r="E109" s="32">
        <v>82456469000000</v>
      </c>
      <c r="F109" s="11">
        <f t="shared" si="14"/>
        <v>-3857301000000</v>
      </c>
      <c r="G109" s="11">
        <f t="shared" ref="G109:G111" si="23">F109-F108</f>
        <v>-795069000000</v>
      </c>
    </row>
    <row r="110" spans="1:7" ht="15.5" x14ac:dyDescent="0.35">
      <c r="A110" s="1">
        <v>109</v>
      </c>
      <c r="B110" s="2"/>
      <c r="C110" s="25">
        <v>2020</v>
      </c>
      <c r="D110" s="7">
        <v>62023240000000</v>
      </c>
      <c r="E110" s="32">
        <v>58263299000000</v>
      </c>
      <c r="F110" s="11">
        <f t="shared" si="14"/>
        <v>3759941000000</v>
      </c>
      <c r="G110" s="11">
        <f t="shared" si="23"/>
        <v>7617242000000</v>
      </c>
    </row>
    <row r="111" spans="1:7" ht="15.5" x14ac:dyDescent="0.35">
      <c r="A111" s="1">
        <v>110</v>
      </c>
      <c r="B111" s="2"/>
      <c r="C111" s="25">
        <v>2021</v>
      </c>
      <c r="D111" s="7">
        <v>70325572000000</v>
      </c>
      <c r="E111" s="32">
        <v>65764135000000</v>
      </c>
      <c r="F111" s="11">
        <f t="shared" si="14"/>
        <v>4561437000000</v>
      </c>
      <c r="G111" s="11">
        <f t="shared" si="23"/>
        <v>801496000000</v>
      </c>
    </row>
    <row r="112" spans="1:7" ht="15.5" x14ac:dyDescent="0.35">
      <c r="A112" s="1">
        <v>111</v>
      </c>
      <c r="B112" s="2" t="s">
        <v>80</v>
      </c>
      <c r="C112" s="25">
        <v>2017</v>
      </c>
      <c r="D112" s="7">
        <v>7556865958694</v>
      </c>
      <c r="E112" s="32">
        <v>8416125295270</v>
      </c>
      <c r="F112" s="11">
        <f t="shared" si="14"/>
        <v>-859259336576</v>
      </c>
      <c r="G112" s="9"/>
    </row>
    <row r="113" spans="1:7" ht="15.5" x14ac:dyDescent="0.35">
      <c r="A113" s="1">
        <v>112</v>
      </c>
      <c r="B113" s="2"/>
      <c r="C113" s="25">
        <v>2018</v>
      </c>
      <c r="D113" s="7">
        <v>8539608076897</v>
      </c>
      <c r="E113" s="32">
        <v>8393558923476</v>
      </c>
      <c r="F113" s="11">
        <f t="shared" si="14"/>
        <v>146049153421</v>
      </c>
      <c r="G113" s="11">
        <f>F113-F112</f>
        <v>1005308489997</v>
      </c>
    </row>
    <row r="114" spans="1:7" ht="15.5" x14ac:dyDescent="0.35">
      <c r="A114" s="1">
        <v>113</v>
      </c>
      <c r="B114" s="2"/>
      <c r="C114" s="25">
        <v>2019</v>
      </c>
      <c r="D114" s="7">
        <v>8831649615513</v>
      </c>
      <c r="E114" s="32">
        <v>9072455468724</v>
      </c>
      <c r="F114" s="11">
        <f t="shared" si="14"/>
        <v>-240805853211</v>
      </c>
      <c r="G114" s="11">
        <f t="shared" ref="G114:G116" si="24">F114-F113</f>
        <v>-386855006632</v>
      </c>
    </row>
    <row r="115" spans="1:7" ht="15.5" x14ac:dyDescent="0.35">
      <c r="A115" s="1">
        <v>114</v>
      </c>
      <c r="B115" s="2"/>
      <c r="C115" s="25">
        <v>2020</v>
      </c>
      <c r="D115" s="7">
        <v>7717826023983</v>
      </c>
      <c r="E115" s="32">
        <v>9943605555249</v>
      </c>
      <c r="F115" s="11">
        <f t="shared" si="14"/>
        <v>-2225779531266</v>
      </c>
      <c r="G115" s="11">
        <f t="shared" si="24"/>
        <v>-1984973678055</v>
      </c>
    </row>
    <row r="116" spans="1:7" ht="15.5" x14ac:dyDescent="0.35">
      <c r="A116" s="1">
        <v>115</v>
      </c>
      <c r="B116" s="2"/>
      <c r="C116" s="25">
        <v>2021</v>
      </c>
      <c r="D116" s="7">
        <v>8768137786534</v>
      </c>
      <c r="E116" s="32">
        <v>11395252760125</v>
      </c>
      <c r="F116" s="11">
        <f t="shared" si="14"/>
        <v>-2627114973591</v>
      </c>
      <c r="G116" s="11">
        <f t="shared" si="24"/>
        <v>-401335442325</v>
      </c>
    </row>
    <row r="117" spans="1:7" ht="15.5" x14ac:dyDescent="0.35">
      <c r="A117" s="1">
        <v>116</v>
      </c>
      <c r="B117" s="2" t="s">
        <v>81</v>
      </c>
      <c r="C117" s="25">
        <v>2017</v>
      </c>
      <c r="D117" s="7">
        <v>864292438000000</v>
      </c>
      <c r="E117" s="32">
        <v>866597295000000</v>
      </c>
      <c r="F117" s="11">
        <f t="shared" si="14"/>
        <v>-2304857000000</v>
      </c>
      <c r="G117" s="9"/>
    </row>
    <row r="118" spans="1:7" ht="15.5" x14ac:dyDescent="0.35">
      <c r="A118" s="1">
        <v>117</v>
      </c>
      <c r="B118" s="2"/>
      <c r="C118" s="25">
        <v>2018</v>
      </c>
      <c r="D118" s="7">
        <v>1045843257000000</v>
      </c>
      <c r="E118" s="32">
        <v>973806052000000</v>
      </c>
      <c r="F118" s="11">
        <f t="shared" si="14"/>
        <v>72037205000000</v>
      </c>
      <c r="G118" s="11">
        <f>F118-F117</f>
        <v>74342062000000</v>
      </c>
    </row>
    <row r="119" spans="1:7" ht="15.5" x14ac:dyDescent="0.35">
      <c r="A119" s="1">
        <v>118</v>
      </c>
      <c r="B119" s="2"/>
      <c r="C119" s="25">
        <v>2019</v>
      </c>
      <c r="D119" s="7">
        <v>1039026797000000</v>
      </c>
      <c r="E119" s="32">
        <v>1032744990000000</v>
      </c>
      <c r="F119" s="11">
        <f t="shared" si="14"/>
        <v>6281807000000</v>
      </c>
      <c r="G119" s="11">
        <f t="shared" ref="G119:G121" si="25">F119-F118</f>
        <v>-65755398000000</v>
      </c>
    </row>
    <row r="120" spans="1:7" ht="15.5" x14ac:dyDescent="0.35">
      <c r="A120" s="1">
        <v>119</v>
      </c>
      <c r="B120" s="2"/>
      <c r="C120" s="25">
        <v>2020</v>
      </c>
      <c r="D120" s="7">
        <v>984842352000000</v>
      </c>
      <c r="E120" s="32">
        <v>1134984918000000</v>
      </c>
      <c r="F120" s="11">
        <f t="shared" si="14"/>
        <v>-150142566000000</v>
      </c>
      <c r="G120" s="11">
        <f t="shared" si="25"/>
        <v>-156424373000000</v>
      </c>
    </row>
    <row r="121" spans="1:7" ht="15.5" x14ac:dyDescent="0.35">
      <c r="A121" s="1">
        <v>120</v>
      </c>
      <c r="B121" s="2"/>
      <c r="C121" s="25">
        <v>2021</v>
      </c>
      <c r="D121" s="7">
        <v>1149095230000000</v>
      </c>
      <c r="E121" s="32">
        <v>1193128275000000</v>
      </c>
      <c r="F121" s="11">
        <f t="shared" si="14"/>
        <v>-44033045000000</v>
      </c>
      <c r="G121" s="11">
        <f t="shared" si="25"/>
        <v>106109521000000</v>
      </c>
    </row>
    <row r="122" spans="1:7" ht="15.5" x14ac:dyDescent="0.35">
      <c r="A122" s="1">
        <v>121</v>
      </c>
      <c r="B122" s="2" t="s">
        <v>82</v>
      </c>
      <c r="C122" s="25">
        <v>2017</v>
      </c>
      <c r="D122" s="7">
        <v>4460115114603</v>
      </c>
      <c r="E122" s="32">
        <v>4303877075233</v>
      </c>
      <c r="F122" s="11">
        <f t="shared" si="14"/>
        <v>156238039370</v>
      </c>
      <c r="G122" s="9"/>
    </row>
    <row r="123" spans="1:7" ht="15.5" x14ac:dyDescent="0.35">
      <c r="A123" s="1">
        <v>122</v>
      </c>
      <c r="B123" s="2"/>
      <c r="C123" s="25">
        <v>2018</v>
      </c>
      <c r="D123" s="7">
        <v>4044602131348</v>
      </c>
      <c r="E123" s="32">
        <v>3903951572596</v>
      </c>
      <c r="F123" s="11">
        <f t="shared" si="14"/>
        <v>140650558752</v>
      </c>
      <c r="G123" s="11">
        <f>F123-F122</f>
        <v>-15587480618</v>
      </c>
    </row>
    <row r="124" spans="1:7" ht="15.5" x14ac:dyDescent="0.35">
      <c r="A124" s="1">
        <v>123</v>
      </c>
      <c r="B124" s="2"/>
      <c r="C124" s="25">
        <v>2019</v>
      </c>
      <c r="D124" s="7">
        <v>3941435349135</v>
      </c>
      <c r="E124" s="32">
        <v>4169060055382</v>
      </c>
      <c r="F124" s="11">
        <f t="shared" si="14"/>
        <v>-227624706247</v>
      </c>
      <c r="G124" s="11">
        <f t="shared" ref="G124:G126" si="26">F124-F123</f>
        <v>-368275264999</v>
      </c>
    </row>
    <row r="125" spans="1:7" ht="15.5" x14ac:dyDescent="0.35">
      <c r="A125" s="1">
        <v>124</v>
      </c>
      <c r="B125" s="2"/>
      <c r="C125" s="25">
        <v>2020</v>
      </c>
      <c r="D125" s="7">
        <v>3906934838834</v>
      </c>
      <c r="E125" s="32">
        <v>4285539501634</v>
      </c>
      <c r="F125" s="11">
        <f t="shared" si="14"/>
        <v>-378604662800</v>
      </c>
      <c r="G125" s="11">
        <f t="shared" si="26"/>
        <v>-150979956553</v>
      </c>
    </row>
    <row r="126" spans="1:7" ht="15.5" x14ac:dyDescent="0.35">
      <c r="A126" s="1">
        <v>125</v>
      </c>
      <c r="B126" s="2"/>
      <c r="C126" s="25">
        <v>2021</v>
      </c>
      <c r="D126" s="7">
        <v>2313975948910</v>
      </c>
      <c r="E126" s="32">
        <v>8341845013239</v>
      </c>
      <c r="F126" s="11">
        <f t="shared" si="14"/>
        <v>-6027869064329</v>
      </c>
      <c r="G126" s="11">
        <f t="shared" si="26"/>
        <v>-5649264401529</v>
      </c>
    </row>
    <row r="127" spans="1:7" ht="15.5" x14ac:dyDescent="0.35">
      <c r="A127" s="1">
        <v>126</v>
      </c>
      <c r="B127" s="2" t="s">
        <v>83</v>
      </c>
      <c r="C127" s="25">
        <v>2017</v>
      </c>
      <c r="D127" s="7">
        <v>2030769000000</v>
      </c>
      <c r="E127" s="32">
        <v>1917221000000</v>
      </c>
      <c r="F127" s="11">
        <f t="shared" si="14"/>
        <v>113548000000</v>
      </c>
      <c r="G127" s="9"/>
    </row>
    <row r="128" spans="1:7" ht="15.5" x14ac:dyDescent="0.35">
      <c r="A128" s="1">
        <v>127</v>
      </c>
      <c r="B128" s="2"/>
      <c r="C128" s="25">
        <v>2018</v>
      </c>
      <c r="D128" s="7">
        <v>2806359000000</v>
      </c>
      <c r="E128" s="32">
        <v>2642641000000</v>
      </c>
      <c r="F128" s="11">
        <f t="shared" si="14"/>
        <v>163718000000</v>
      </c>
      <c r="G128" s="11">
        <f>F128-F127</f>
        <v>50170000000</v>
      </c>
    </row>
    <row r="129" spans="1:7" ht="15.5" x14ac:dyDescent="0.35">
      <c r="A129" s="1">
        <v>128</v>
      </c>
      <c r="B129" s="2"/>
      <c r="C129" s="25">
        <v>2019</v>
      </c>
      <c r="D129" s="7">
        <v>3553017000000</v>
      </c>
      <c r="E129" s="32">
        <v>4037090000000</v>
      </c>
      <c r="F129" s="11">
        <f t="shared" si="14"/>
        <v>-484073000000</v>
      </c>
      <c r="G129" s="11">
        <f t="shared" ref="G129:G131" si="27">F129-F128</f>
        <v>-647791000000</v>
      </c>
    </row>
    <row r="130" spans="1:7" ht="15.5" x14ac:dyDescent="0.35">
      <c r="A130" s="1">
        <v>129</v>
      </c>
      <c r="B130" s="2"/>
      <c r="C130" s="25">
        <v>2020</v>
      </c>
      <c r="D130" s="7">
        <v>5003853000000</v>
      </c>
      <c r="E130" s="32">
        <v>7165059000000</v>
      </c>
      <c r="F130" s="11">
        <f t="shared" si="14"/>
        <v>-2161206000000</v>
      </c>
      <c r="G130" s="11">
        <f t="shared" si="27"/>
        <v>-1677133000000</v>
      </c>
    </row>
    <row r="131" spans="1:7" ht="15.5" x14ac:dyDescent="0.35">
      <c r="A131" s="1">
        <v>130</v>
      </c>
      <c r="B131" s="2"/>
      <c r="C131" s="25">
        <v>2021</v>
      </c>
      <c r="D131" s="7">
        <v>8849733000000</v>
      </c>
      <c r="E131" s="32">
        <v>12587498000000</v>
      </c>
      <c r="F131" s="11">
        <f t="shared" ref="F131:F176" si="28">D131-E131</f>
        <v>-3737765000000</v>
      </c>
      <c r="G131" s="11">
        <f t="shared" si="27"/>
        <v>-1576559000000</v>
      </c>
    </row>
    <row r="132" spans="1:7" ht="15.5" x14ac:dyDescent="0.35">
      <c r="A132" s="1">
        <v>131</v>
      </c>
      <c r="B132" s="2" t="s">
        <v>84</v>
      </c>
      <c r="C132" s="25">
        <v>2017</v>
      </c>
      <c r="D132" s="7">
        <v>45351683000000</v>
      </c>
      <c r="E132" s="32">
        <v>42218715000000</v>
      </c>
      <c r="F132" s="11">
        <f t="shared" si="28"/>
        <v>3132968000000</v>
      </c>
      <c r="G132" s="9"/>
    </row>
    <row r="133" spans="1:7" ht="15.5" x14ac:dyDescent="0.35">
      <c r="A133" s="1">
        <v>132</v>
      </c>
      <c r="B133" s="2"/>
      <c r="C133" s="25">
        <v>2018</v>
      </c>
      <c r="D133" s="7">
        <v>52839925000000</v>
      </c>
      <c r="E133" s="32">
        <v>52713601000000</v>
      </c>
      <c r="F133" s="11">
        <f t="shared" si="28"/>
        <v>126324000000</v>
      </c>
      <c r="G133" s="11">
        <f>F133-F132</f>
        <v>-3006644000000</v>
      </c>
    </row>
    <row r="134" spans="1:7" ht="15.5" x14ac:dyDescent="0.35">
      <c r="A134" s="1">
        <v>133</v>
      </c>
      <c r="B134" s="2"/>
      <c r="C134" s="25">
        <v>2019</v>
      </c>
      <c r="D134" s="7">
        <v>64555877000000</v>
      </c>
      <c r="E134" s="32">
        <v>64289140000000</v>
      </c>
      <c r="F134" s="11">
        <f t="shared" si="28"/>
        <v>266737000000</v>
      </c>
      <c r="G134" s="11">
        <f t="shared" ref="G134:G136" si="29">F134-F133</f>
        <v>140413000000</v>
      </c>
    </row>
    <row r="135" spans="1:7" ht="15.5" x14ac:dyDescent="0.35">
      <c r="A135" s="1">
        <v>134</v>
      </c>
      <c r="B135" s="2"/>
      <c r="C135" s="25">
        <v>2020</v>
      </c>
      <c r="D135" s="7">
        <v>66807014000000</v>
      </c>
      <c r="E135" s="32">
        <v>72386519000000</v>
      </c>
      <c r="F135" s="11">
        <f t="shared" si="28"/>
        <v>-5579505000000</v>
      </c>
      <c r="G135" s="11">
        <f t="shared" si="29"/>
        <v>-5846242000000</v>
      </c>
    </row>
    <row r="136" spans="1:7" ht="15.5" x14ac:dyDescent="0.35">
      <c r="A136" s="1">
        <v>135</v>
      </c>
      <c r="B136" s="2"/>
      <c r="C136" s="25">
        <v>2021</v>
      </c>
      <c r="D136" s="7">
        <v>66452628000000</v>
      </c>
      <c r="E136" s="32">
        <v>88627765000000</v>
      </c>
      <c r="F136" s="11">
        <f t="shared" si="28"/>
        <v>-22175137000000</v>
      </c>
      <c r="G136" s="11">
        <f t="shared" si="29"/>
        <v>-16595632000000</v>
      </c>
    </row>
    <row r="137" spans="1:7" ht="15.5" x14ac:dyDescent="0.35">
      <c r="A137" s="1">
        <v>136</v>
      </c>
      <c r="B137" s="2" t="s">
        <v>85</v>
      </c>
      <c r="C137" s="25">
        <v>2017</v>
      </c>
      <c r="D137" s="7">
        <v>899761561000000</v>
      </c>
      <c r="E137" s="32">
        <v>760772056000000</v>
      </c>
      <c r="F137" s="11">
        <f t="shared" si="28"/>
        <v>138989505000000</v>
      </c>
      <c r="G137" s="9"/>
    </row>
    <row r="138" spans="1:7" ht="15.5" x14ac:dyDescent="0.35">
      <c r="A138" s="1">
        <v>137</v>
      </c>
      <c r="B138" s="2"/>
      <c r="C138" s="25">
        <v>2018</v>
      </c>
      <c r="D138" s="7">
        <v>946528370000000</v>
      </c>
      <c r="E138" s="32">
        <v>786345902000000</v>
      </c>
      <c r="F138" s="11">
        <f t="shared" si="28"/>
        <v>160182468000000</v>
      </c>
      <c r="G138" s="11">
        <f>F138-F137</f>
        <v>21192963000000</v>
      </c>
    </row>
    <row r="139" spans="1:7" ht="15.5" x14ac:dyDescent="0.35">
      <c r="A139" s="1">
        <v>138</v>
      </c>
      <c r="B139" s="2"/>
      <c r="C139" s="25">
        <v>2019</v>
      </c>
      <c r="D139" s="7">
        <v>1041505171000000</v>
      </c>
      <c r="E139" s="32">
        <v>866675662000000</v>
      </c>
      <c r="F139" s="11">
        <f t="shared" si="28"/>
        <v>174829509000000</v>
      </c>
      <c r="G139" s="11">
        <f t="shared" ref="G139:G141" si="30">F139-F138</f>
        <v>14647041000000</v>
      </c>
    </row>
    <row r="140" spans="1:7" ht="15.5" x14ac:dyDescent="0.35">
      <c r="A140" s="1">
        <v>139</v>
      </c>
      <c r="B140" s="2"/>
      <c r="C140" s="25">
        <v>2020</v>
      </c>
      <c r="D140" s="7">
        <v>1090570973000000</v>
      </c>
      <c r="E140" s="32">
        <v>967880101669696</v>
      </c>
      <c r="F140" s="11">
        <f t="shared" si="28"/>
        <v>122690871330304</v>
      </c>
      <c r="G140" s="11">
        <f t="shared" si="30"/>
        <v>-52138637669696</v>
      </c>
    </row>
    <row r="141" spans="1:7" ht="15.5" x14ac:dyDescent="0.35">
      <c r="A141" s="1">
        <v>140</v>
      </c>
      <c r="B141" s="2"/>
      <c r="C141" s="25">
        <v>2021</v>
      </c>
      <c r="D141" s="7">
        <v>1229246950000000</v>
      </c>
      <c r="E141" s="32">
        <v>1133459579000000</v>
      </c>
      <c r="F141" s="11">
        <f t="shared" si="28"/>
        <v>95787371000000</v>
      </c>
      <c r="G141" s="11">
        <f t="shared" si="30"/>
        <v>-26903500330304</v>
      </c>
    </row>
    <row r="142" spans="1:7" ht="15.5" x14ac:dyDescent="0.35">
      <c r="A142" s="1">
        <v>141</v>
      </c>
      <c r="B142" s="2" t="s">
        <v>86</v>
      </c>
      <c r="C142" s="25">
        <v>2017</v>
      </c>
      <c r="D142" s="7">
        <v>5793268971618</v>
      </c>
      <c r="E142" s="32">
        <v>5538710201733</v>
      </c>
      <c r="F142" s="11">
        <f t="shared" si="28"/>
        <v>254558769885</v>
      </c>
      <c r="G142" s="9"/>
    </row>
    <row r="143" spans="1:7" ht="15.5" x14ac:dyDescent="0.35">
      <c r="A143" s="1">
        <v>142</v>
      </c>
      <c r="B143" s="2"/>
      <c r="C143" s="25">
        <v>2018</v>
      </c>
      <c r="D143" s="7">
        <v>6020859005539</v>
      </c>
      <c r="E143" s="32">
        <v>5679072981267</v>
      </c>
      <c r="F143" s="11">
        <f t="shared" si="28"/>
        <v>341786024272</v>
      </c>
      <c r="G143" s="11">
        <f>F143-F142</f>
        <v>87227254387</v>
      </c>
    </row>
    <row r="144" spans="1:7" ht="15.5" x14ac:dyDescent="0.35">
      <c r="A144" s="1">
        <v>143</v>
      </c>
      <c r="B144" s="2"/>
      <c r="C144" s="25">
        <v>2019</v>
      </c>
      <c r="D144" s="7">
        <v>6459089620189</v>
      </c>
      <c r="E144" s="32">
        <v>5956995576842</v>
      </c>
      <c r="F144" s="11">
        <f t="shared" si="28"/>
        <v>502094043347</v>
      </c>
      <c r="G144" s="11">
        <f t="shared" ref="G144:G146" si="31">F144-F143</f>
        <v>160308019075</v>
      </c>
    </row>
    <row r="145" spans="1:7" ht="15.5" x14ac:dyDescent="0.35">
      <c r="A145" s="1">
        <v>144</v>
      </c>
      <c r="B145" s="2"/>
      <c r="C145" s="25">
        <v>2020</v>
      </c>
      <c r="D145" s="7">
        <v>5309651569698</v>
      </c>
      <c r="E145" s="32">
        <v>5991356811240</v>
      </c>
      <c r="F145" s="11">
        <f t="shared" si="28"/>
        <v>-681705241542</v>
      </c>
      <c r="G145" s="11">
        <f t="shared" si="31"/>
        <v>-1183799284889</v>
      </c>
    </row>
    <row r="146" spans="1:7" ht="15.5" x14ac:dyDescent="0.35">
      <c r="A146" s="1">
        <v>145</v>
      </c>
      <c r="B146" s="2"/>
      <c r="C146" s="25">
        <v>2021</v>
      </c>
      <c r="D146" s="7">
        <v>5329140278605</v>
      </c>
      <c r="E146" s="32">
        <v>6330241506088</v>
      </c>
      <c r="F146" s="11">
        <f t="shared" si="28"/>
        <v>-1001101227483</v>
      </c>
      <c r="G146" s="11">
        <f t="shared" si="31"/>
        <v>-319395985941</v>
      </c>
    </row>
    <row r="147" spans="1:7" ht="15.5" x14ac:dyDescent="0.35">
      <c r="A147" s="1">
        <v>146</v>
      </c>
      <c r="B147" s="2" t="s">
        <v>87</v>
      </c>
      <c r="C147" s="25">
        <v>2017</v>
      </c>
      <c r="D147" s="7">
        <v>12942733826000</v>
      </c>
      <c r="E147" s="32">
        <v>12462490192000</v>
      </c>
      <c r="F147" s="11">
        <f t="shared" si="28"/>
        <v>480243634000</v>
      </c>
      <c r="G147" s="9"/>
    </row>
    <row r="148" spans="1:7" ht="15.5" x14ac:dyDescent="0.35">
      <c r="A148" s="1">
        <v>147</v>
      </c>
      <c r="B148" s="2"/>
      <c r="C148" s="25">
        <v>2018</v>
      </c>
      <c r="D148" s="7">
        <v>17580399364498</v>
      </c>
      <c r="E148" s="32">
        <v>18160989151000</v>
      </c>
      <c r="F148" s="11">
        <f t="shared" si="28"/>
        <v>-580589786502</v>
      </c>
      <c r="G148" s="11">
        <f>F148-F147</f>
        <v>-1060833420502</v>
      </c>
    </row>
    <row r="149" spans="1:7" ht="15.5" x14ac:dyDescent="0.35">
      <c r="A149" s="1">
        <v>148</v>
      </c>
      <c r="B149" s="2"/>
      <c r="C149" s="25">
        <v>2019</v>
      </c>
      <c r="D149" s="7">
        <v>20903675728000</v>
      </c>
      <c r="E149" s="32">
        <v>21901688965000</v>
      </c>
      <c r="F149" s="11">
        <f t="shared" si="28"/>
        <v>-998013237000</v>
      </c>
      <c r="G149" s="11">
        <f t="shared" ref="G149:G151" si="32">F149-F148</f>
        <v>-417423450498</v>
      </c>
    </row>
    <row r="150" spans="1:7" ht="15.5" x14ac:dyDescent="0.35">
      <c r="A150" s="1">
        <v>149</v>
      </c>
      <c r="B150" s="2"/>
      <c r="C150" s="25">
        <v>2020</v>
      </c>
      <c r="D150" s="7">
        <v>21127582403000</v>
      </c>
      <c r="E150" s="32">
        <v>23224254951000</v>
      </c>
      <c r="F150" s="11">
        <f t="shared" si="28"/>
        <v>-2096672548000</v>
      </c>
      <c r="G150" s="11">
        <f t="shared" si="32"/>
        <v>-1098659311000</v>
      </c>
    </row>
    <row r="151" spans="1:7" ht="15.5" x14ac:dyDescent="0.35">
      <c r="A151" s="1">
        <v>150</v>
      </c>
      <c r="B151" s="2"/>
      <c r="C151" s="25">
        <v>2021</v>
      </c>
      <c r="D151" s="7">
        <v>11965504577000</v>
      </c>
      <c r="E151" s="32">
        <v>13807525331000</v>
      </c>
      <c r="F151" s="11">
        <f t="shared" si="28"/>
        <v>-1842020754000</v>
      </c>
      <c r="G151" s="11">
        <f t="shared" si="32"/>
        <v>254651794000</v>
      </c>
    </row>
    <row r="152" spans="1:7" ht="15.5" x14ac:dyDescent="0.35">
      <c r="A152" s="1">
        <v>151</v>
      </c>
      <c r="B152" s="2" t="s">
        <v>88</v>
      </c>
      <c r="C152" s="25">
        <v>2017</v>
      </c>
      <c r="D152" s="7">
        <v>24369706000000</v>
      </c>
      <c r="E152" s="32">
        <v>22251952000000</v>
      </c>
      <c r="F152" s="11">
        <f t="shared" si="28"/>
        <v>2117754000000</v>
      </c>
      <c r="G152" s="9"/>
    </row>
    <row r="153" spans="1:7" ht="15.5" x14ac:dyDescent="0.35">
      <c r="A153" s="1">
        <v>152</v>
      </c>
      <c r="B153" s="2"/>
      <c r="C153" s="25">
        <v>2018</v>
      </c>
      <c r="D153" s="7">
        <v>24482921000000</v>
      </c>
      <c r="E153" s="32">
        <v>23037390000000</v>
      </c>
      <c r="F153" s="11">
        <f t="shared" si="28"/>
        <v>1445531000000</v>
      </c>
      <c r="G153" s="11">
        <f>F153-F152</f>
        <v>-672223000000</v>
      </c>
    </row>
    <row r="154" spans="1:7" ht="15.5" x14ac:dyDescent="0.35">
      <c r="A154" s="1">
        <v>153</v>
      </c>
      <c r="B154" s="2"/>
      <c r="C154" s="25">
        <v>2019</v>
      </c>
      <c r="D154" s="7">
        <v>25974422000000</v>
      </c>
      <c r="E154" s="32">
        <v>25622634000000</v>
      </c>
      <c r="F154" s="11">
        <f t="shared" si="28"/>
        <v>351788000000</v>
      </c>
      <c r="G154" s="11">
        <f t="shared" ref="G154:G156" si="33">F154-F153</f>
        <v>-1093743000000</v>
      </c>
    </row>
    <row r="155" spans="1:7" ht="15.5" x14ac:dyDescent="0.35">
      <c r="A155" s="1">
        <v>154</v>
      </c>
      <c r="B155" s="2"/>
      <c r="C155" s="25">
        <v>2020</v>
      </c>
      <c r="D155" s="7">
        <v>25346853000000</v>
      </c>
      <c r="E155" s="32">
        <v>31089445000000</v>
      </c>
      <c r="F155" s="11">
        <f t="shared" si="28"/>
        <v>-5742592000000</v>
      </c>
      <c r="G155" s="11">
        <f t="shared" si="33"/>
        <v>-6094380000000</v>
      </c>
    </row>
    <row r="156" spans="1:7" ht="15.5" x14ac:dyDescent="0.35">
      <c r="A156" s="1">
        <v>155</v>
      </c>
      <c r="B156" s="2"/>
      <c r="C156" s="25">
        <v>2021</v>
      </c>
      <c r="D156" s="7">
        <v>32010447000000</v>
      </c>
      <c r="E156" s="32">
        <v>38186732000000</v>
      </c>
      <c r="F156" s="11">
        <f t="shared" si="28"/>
        <v>-6176285000000</v>
      </c>
      <c r="G156" s="11">
        <f t="shared" si="33"/>
        <v>-433693000000</v>
      </c>
    </row>
    <row r="157" spans="1:7" ht="15.5" x14ac:dyDescent="0.35">
      <c r="A157" s="1">
        <v>156</v>
      </c>
      <c r="B157" s="2" t="s">
        <v>89</v>
      </c>
      <c r="C157" s="25">
        <v>2017</v>
      </c>
      <c r="D157" s="7">
        <v>21169612000000</v>
      </c>
      <c r="E157" s="32">
        <v>22552894000000</v>
      </c>
      <c r="F157" s="11">
        <f t="shared" si="28"/>
        <v>-1383282000000</v>
      </c>
      <c r="G157" s="9"/>
    </row>
    <row r="158" spans="1:7" ht="15.5" x14ac:dyDescent="0.35">
      <c r="A158" s="1">
        <v>157</v>
      </c>
      <c r="B158" s="2"/>
      <c r="C158" s="25">
        <v>2018</v>
      </c>
      <c r="D158" s="7">
        <v>19536257000000</v>
      </c>
      <c r="E158" s="32">
        <v>20836167000000</v>
      </c>
      <c r="F158" s="11">
        <f t="shared" si="28"/>
        <v>-1299910000000</v>
      </c>
      <c r="G158" s="11">
        <f>F158-F157</f>
        <v>83372000000</v>
      </c>
    </row>
    <row r="159" spans="1:7" ht="15.5" x14ac:dyDescent="0.35">
      <c r="A159" s="1">
        <v>158</v>
      </c>
      <c r="B159" s="2"/>
      <c r="C159" s="25">
        <v>2019</v>
      </c>
      <c r="D159" s="7">
        <v>17462100000000</v>
      </c>
      <c r="E159" s="32">
        <v>20413975000000</v>
      </c>
      <c r="F159" s="11">
        <f t="shared" si="28"/>
        <v>-2951875000000</v>
      </c>
      <c r="G159" s="11">
        <f t="shared" ref="G159:G161" si="34">F159-F158</f>
        <v>-1651965000000</v>
      </c>
    </row>
    <row r="160" spans="1:7" ht="15.5" x14ac:dyDescent="0.35">
      <c r="A160" s="1">
        <v>159</v>
      </c>
      <c r="B160" s="2"/>
      <c r="C160" s="25">
        <v>2020</v>
      </c>
      <c r="D160" s="7">
        <v>15287554000000</v>
      </c>
      <c r="E160" s="32">
        <v>25760939000000</v>
      </c>
      <c r="F160" s="11">
        <f t="shared" si="28"/>
        <v>-10473385000000</v>
      </c>
      <c r="G160" s="11">
        <f t="shared" si="34"/>
        <v>-7521510000000</v>
      </c>
    </row>
    <row r="161" spans="1:7" ht="15.5" x14ac:dyDescent="0.35">
      <c r="A161" s="1">
        <v>160</v>
      </c>
      <c r="B161" s="2"/>
      <c r="C161" s="25">
        <v>2021</v>
      </c>
      <c r="D161" s="7">
        <v>15925550000000</v>
      </c>
      <c r="E161" s="32">
        <v>21095629000000</v>
      </c>
      <c r="F161" s="11">
        <f t="shared" si="28"/>
        <v>-5170079000000</v>
      </c>
      <c r="G161" s="11">
        <f t="shared" si="34"/>
        <v>5303306000000</v>
      </c>
    </row>
    <row r="162" spans="1:7" ht="15.5" x14ac:dyDescent="0.35">
      <c r="A162" s="1">
        <v>166</v>
      </c>
      <c r="B162" s="2" t="s">
        <v>90</v>
      </c>
      <c r="C162" s="25">
        <v>2017</v>
      </c>
      <c r="D162" s="7">
        <v>48601374000000</v>
      </c>
      <c r="E162" s="32">
        <v>63952737000000</v>
      </c>
      <c r="F162" s="11">
        <f t="shared" si="28"/>
        <v>-15351363000000</v>
      </c>
      <c r="G162" s="9"/>
    </row>
    <row r="163" spans="1:7" ht="15.5" x14ac:dyDescent="0.35">
      <c r="A163" s="1">
        <v>167</v>
      </c>
      <c r="B163" s="2"/>
      <c r="C163" s="25">
        <v>2018</v>
      </c>
      <c r="D163" s="7">
        <v>50745355000000</v>
      </c>
      <c r="E163" s="32">
        <v>63994791000000</v>
      </c>
      <c r="F163" s="11">
        <f t="shared" si="28"/>
        <v>-13249436000000</v>
      </c>
      <c r="G163" s="11">
        <f>F163-F162</f>
        <v>2101927000000</v>
      </c>
    </row>
    <row r="164" spans="1:7" ht="15.5" x14ac:dyDescent="0.35">
      <c r="A164" s="1">
        <v>168</v>
      </c>
      <c r="B164" s="2"/>
      <c r="C164" s="25">
        <v>2019</v>
      </c>
      <c r="D164" s="7">
        <v>67215654000000</v>
      </c>
      <c r="E164" s="32">
        <v>79233885000000</v>
      </c>
      <c r="F164" s="11">
        <f t="shared" si="28"/>
        <v>-12018231000000</v>
      </c>
      <c r="G164" s="11">
        <f t="shared" ref="G164:G166" si="35">F164-F163</f>
        <v>1231205000000</v>
      </c>
    </row>
    <row r="165" spans="1:7" ht="15.5" x14ac:dyDescent="0.35">
      <c r="A165" s="1">
        <v>169</v>
      </c>
      <c r="B165" s="2"/>
      <c r="C165" s="25">
        <v>2020</v>
      </c>
      <c r="D165" s="7">
        <v>56487998000000</v>
      </c>
      <c r="E165" s="32">
        <v>73751996000000</v>
      </c>
      <c r="F165" s="11">
        <f t="shared" si="28"/>
        <v>-17263998000000</v>
      </c>
      <c r="G165" s="11">
        <f t="shared" si="35"/>
        <v>-5245767000000</v>
      </c>
    </row>
    <row r="166" spans="1:7" ht="15.5" x14ac:dyDescent="0.35">
      <c r="A166" s="1">
        <v>170</v>
      </c>
      <c r="B166" s="2"/>
      <c r="C166" s="25">
        <v>2021</v>
      </c>
      <c r="D166" s="7">
        <v>78336337000000</v>
      </c>
      <c r="E166" s="32">
        <v>101340288000000</v>
      </c>
      <c r="F166" s="11">
        <f t="shared" si="28"/>
        <v>-23003951000000</v>
      </c>
      <c r="G166" s="11">
        <f t="shared" si="35"/>
        <v>-5739953000000</v>
      </c>
    </row>
    <row r="167" spans="1:7" ht="15.5" x14ac:dyDescent="0.35">
      <c r="A167" s="1">
        <v>171</v>
      </c>
      <c r="B167" s="2" t="s">
        <v>91</v>
      </c>
      <c r="C167" s="25">
        <v>2017</v>
      </c>
      <c r="D167" s="7">
        <v>2934949092000</v>
      </c>
      <c r="E167" s="32">
        <v>1944912855000</v>
      </c>
      <c r="F167" s="11">
        <f t="shared" si="28"/>
        <v>990036237000</v>
      </c>
      <c r="G167" s="9"/>
    </row>
    <row r="168" spans="1:7" ht="15.5" x14ac:dyDescent="0.35">
      <c r="A168" s="1">
        <v>172</v>
      </c>
      <c r="B168" s="2"/>
      <c r="C168" s="25">
        <v>2018</v>
      </c>
      <c r="D168" s="7">
        <v>2272497559000</v>
      </c>
      <c r="E168" s="32">
        <v>1218053230000</v>
      </c>
      <c r="F168" s="11">
        <f t="shared" si="28"/>
        <v>1054444329000</v>
      </c>
      <c r="G168" s="11">
        <f>F168-F167</f>
        <v>64408092000</v>
      </c>
    </row>
    <row r="169" spans="1:7" ht="15.5" x14ac:dyDescent="0.35">
      <c r="A169" s="1">
        <v>173</v>
      </c>
      <c r="B169" s="2"/>
      <c r="C169" s="25">
        <v>2019</v>
      </c>
      <c r="D169" s="7">
        <v>2657359412000</v>
      </c>
      <c r="E169" s="32">
        <v>1597901424000</v>
      </c>
      <c r="F169" s="11">
        <f t="shared" si="28"/>
        <v>1059457988000</v>
      </c>
      <c r="G169" s="11">
        <f t="shared" ref="G169:G171" si="36">F169-F168</f>
        <v>5013659000</v>
      </c>
    </row>
    <row r="170" spans="1:7" ht="15.5" x14ac:dyDescent="0.35">
      <c r="A170" s="1">
        <v>174</v>
      </c>
      <c r="B170" s="2"/>
      <c r="C170" s="25">
        <v>2020</v>
      </c>
      <c r="D170" s="7">
        <v>2294407680000</v>
      </c>
      <c r="E170" s="32">
        <v>1219841194000</v>
      </c>
      <c r="F170" s="11">
        <f t="shared" si="28"/>
        <v>1074566486000</v>
      </c>
      <c r="G170" s="11">
        <f t="shared" si="36"/>
        <v>15108498000</v>
      </c>
    </row>
    <row r="171" spans="1:7" ht="15.5" x14ac:dyDescent="0.35">
      <c r="A171" s="1">
        <v>175</v>
      </c>
      <c r="B171" s="2"/>
      <c r="C171" s="25">
        <v>2021</v>
      </c>
      <c r="D171" s="7">
        <v>1427362583000</v>
      </c>
      <c r="E171" s="32">
        <v>466785222000</v>
      </c>
      <c r="F171" s="11">
        <f t="shared" si="28"/>
        <v>960577361000</v>
      </c>
      <c r="G171" s="11">
        <f t="shared" si="36"/>
        <v>-113989125000</v>
      </c>
    </row>
    <row r="172" spans="1:7" ht="15.5" x14ac:dyDescent="0.35">
      <c r="A172" s="1">
        <v>176</v>
      </c>
      <c r="B172" s="2" t="s">
        <v>92</v>
      </c>
      <c r="C172" s="25">
        <v>2017</v>
      </c>
      <c r="D172" s="7">
        <v>122306485000000</v>
      </c>
      <c r="E172" s="32">
        <v>119077939000000</v>
      </c>
      <c r="F172" s="11">
        <f t="shared" si="28"/>
        <v>3228546000000</v>
      </c>
      <c r="G172" s="9"/>
    </row>
    <row r="173" spans="1:7" x14ac:dyDescent="0.35">
      <c r="A173" s="1">
        <v>177</v>
      </c>
      <c r="B173" s="9"/>
      <c r="C173" s="25">
        <v>2018</v>
      </c>
      <c r="D173" s="7">
        <v>135375316000000</v>
      </c>
      <c r="E173" s="32">
        <v>127028315000000</v>
      </c>
      <c r="F173" s="11">
        <f t="shared" si="28"/>
        <v>8347001000000</v>
      </c>
      <c r="G173" s="11">
        <f>F173-F172</f>
        <v>5118455000000</v>
      </c>
    </row>
    <row r="174" spans="1:7" x14ac:dyDescent="0.35">
      <c r="A174" s="1">
        <v>178</v>
      </c>
      <c r="B174" s="9"/>
      <c r="C174" s="25">
        <v>2019</v>
      </c>
      <c r="D174" s="7">
        <v>141590965000000</v>
      </c>
      <c r="E174" s="32">
        <v>133572426000000</v>
      </c>
      <c r="F174" s="11">
        <f t="shared" si="28"/>
        <v>8018539000000</v>
      </c>
      <c r="G174" s="11">
        <f t="shared" ref="G174:G176" si="37">F174-F173</f>
        <v>-328462000000</v>
      </c>
    </row>
    <row r="175" spans="1:7" x14ac:dyDescent="0.35">
      <c r="A175" s="1">
        <v>179</v>
      </c>
      <c r="B175" s="9"/>
      <c r="C175" s="25">
        <v>2020</v>
      </c>
      <c r="D175" s="7">
        <v>126041206000000</v>
      </c>
      <c r="E175" s="32">
        <v>163337477000000</v>
      </c>
      <c r="F175" s="11">
        <f t="shared" si="28"/>
        <v>-37296271000000</v>
      </c>
      <c r="G175" s="11">
        <f t="shared" si="37"/>
        <v>-45314810000000</v>
      </c>
    </row>
    <row r="176" spans="1:7" x14ac:dyDescent="0.35">
      <c r="A176" s="1">
        <v>180</v>
      </c>
      <c r="B176" s="9"/>
      <c r="C176" s="25">
        <v>2021</v>
      </c>
      <c r="D176" s="7">
        <v>129969811000000</v>
      </c>
      <c r="E176" s="32">
        <v>170122097000000</v>
      </c>
      <c r="F176" s="11">
        <f t="shared" si="28"/>
        <v>-40152286000000</v>
      </c>
      <c r="G176" s="11">
        <f t="shared" si="37"/>
        <v>-2856015000000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CDB44-5FF6-464C-A927-326F6BC213BE}">
  <dimension ref="A1:P176"/>
  <sheetViews>
    <sheetView zoomScale="76" workbookViewId="0">
      <selection activeCell="H3" sqref="H3"/>
    </sheetView>
  </sheetViews>
  <sheetFormatPr defaultRowHeight="14.5" x14ac:dyDescent="0.35"/>
  <cols>
    <col min="2" max="2" width="11.26953125" bestFit="1" customWidth="1"/>
    <col min="4" max="5" width="24.1796875" bestFit="1" customWidth="1"/>
    <col min="6" max="6" width="22.7265625" bestFit="1" customWidth="1"/>
    <col min="7" max="7" width="21.7265625" customWidth="1"/>
    <col min="8" max="8" width="25.453125" bestFit="1" customWidth="1"/>
    <col min="9" max="10" width="25.26953125" bestFit="1" customWidth="1"/>
    <col min="11" max="11" width="23.26953125" style="5" bestFit="1" customWidth="1"/>
    <col min="12" max="12" width="25.453125" bestFit="1" customWidth="1"/>
    <col min="13" max="13" width="22.7265625" bestFit="1" customWidth="1"/>
    <col min="14" max="15" width="25.453125" bestFit="1" customWidth="1"/>
    <col min="16" max="16" width="15.089843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44</v>
      </c>
      <c r="E1" s="1" t="s">
        <v>40</v>
      </c>
      <c r="F1" s="1" t="s">
        <v>47</v>
      </c>
      <c r="G1" s="1" t="s">
        <v>48</v>
      </c>
      <c r="H1" s="1" t="s">
        <v>49</v>
      </c>
      <c r="I1" s="1" t="s">
        <v>45</v>
      </c>
      <c r="J1" s="1" t="s">
        <v>41</v>
      </c>
      <c r="K1" s="18" t="s">
        <v>46</v>
      </c>
      <c r="L1" s="1" t="s">
        <v>51</v>
      </c>
      <c r="M1" s="9" t="s">
        <v>52</v>
      </c>
      <c r="N1" s="9" t="s">
        <v>50</v>
      </c>
      <c r="O1" s="1" t="s">
        <v>53</v>
      </c>
    </row>
    <row r="2" spans="1:15" x14ac:dyDescent="0.35">
      <c r="A2" s="1">
        <v>1</v>
      </c>
      <c r="B2" s="1" t="s">
        <v>3</v>
      </c>
      <c r="C2" s="1">
        <v>2017</v>
      </c>
      <c r="D2" s="36">
        <v>446108163202</v>
      </c>
      <c r="E2" s="36">
        <v>188346950854</v>
      </c>
      <c r="F2" s="36">
        <f>103908836000+3234710450+61848752000+1620816770</f>
        <v>170613115220</v>
      </c>
      <c r="G2" s="36">
        <v>3610490079</v>
      </c>
      <c r="H2" s="37">
        <f>F2+G2</f>
        <v>174223605299</v>
      </c>
      <c r="I2" s="36">
        <v>234660000000</v>
      </c>
      <c r="J2" s="38">
        <f>234663726530-6310038845-15163595819</f>
        <v>213190091866</v>
      </c>
      <c r="K2" s="36">
        <v>15163595819</v>
      </c>
      <c r="L2" s="39">
        <f>(D2-E2-H2)</f>
        <v>83537607049</v>
      </c>
      <c r="M2" s="35">
        <f>I2-J2-K2</f>
        <v>6306312315</v>
      </c>
      <c r="N2" s="19">
        <f>L2-M2</f>
        <v>77231294734</v>
      </c>
      <c r="O2" s="9"/>
    </row>
    <row r="3" spans="1:15" ht="15.5" x14ac:dyDescent="0.35">
      <c r="A3" s="1">
        <v>2</v>
      </c>
      <c r="B3" s="2" t="s">
        <v>3</v>
      </c>
      <c r="C3" s="1">
        <v>2018</v>
      </c>
      <c r="D3" s="36">
        <v>478439333039</v>
      </c>
      <c r="E3" s="36">
        <v>218515004183</v>
      </c>
      <c r="F3" s="36">
        <f>84331935000+3550789980+71177900000+1895208583</f>
        <v>160955833563</v>
      </c>
      <c r="G3" s="36">
        <v>3356888543</v>
      </c>
      <c r="H3" s="37">
        <f t="shared" ref="H3:H66" si="0">F3+G3</f>
        <v>164312722106</v>
      </c>
      <c r="I3" s="36">
        <v>258810000000</v>
      </c>
      <c r="J3" s="40">
        <f>258813437264-5755573881-11221131258</f>
        <v>241836732125</v>
      </c>
      <c r="K3" s="36">
        <v>11221131258</v>
      </c>
      <c r="L3" s="39">
        <f t="shared" ref="L3:L66" si="1">(D3-E3-H3)</f>
        <v>95611606750</v>
      </c>
      <c r="M3" s="35">
        <f t="shared" ref="M3:M66" si="2">I3-J3-K3</f>
        <v>5752136617</v>
      </c>
      <c r="N3" s="19">
        <f t="shared" ref="N3:N66" si="3">L3-M3</f>
        <v>89859470133</v>
      </c>
      <c r="O3" s="19">
        <f>N3-N2</f>
        <v>12628175399</v>
      </c>
    </row>
    <row r="4" spans="1:15" ht="15.5" x14ac:dyDescent="0.35">
      <c r="A4" s="1">
        <v>3</v>
      </c>
      <c r="B4" s="2" t="s">
        <v>3</v>
      </c>
      <c r="C4" s="1">
        <v>2019</v>
      </c>
      <c r="D4" s="36">
        <v>447670324778</v>
      </c>
      <c r="E4" s="36">
        <v>206936619136</v>
      </c>
      <c r="F4" s="36">
        <f>70658560550+3013810200+2091379533+1000000000</f>
        <v>76763750283</v>
      </c>
      <c r="G4" s="36">
        <v>8090524237</v>
      </c>
      <c r="H4" s="37">
        <f t="shared" si="0"/>
        <v>84854274520</v>
      </c>
      <c r="I4" s="36">
        <v>238310000000</v>
      </c>
      <c r="J4" s="40">
        <f>238307219450-1559666255-5816748324</f>
        <v>230930804871</v>
      </c>
      <c r="K4" s="36">
        <v>5816748324</v>
      </c>
      <c r="L4" s="39">
        <f t="shared" si="1"/>
        <v>155879431122</v>
      </c>
      <c r="M4" s="35">
        <f t="shared" si="2"/>
        <v>1562446805</v>
      </c>
      <c r="N4" s="19">
        <f t="shared" si="3"/>
        <v>154316984317</v>
      </c>
      <c r="O4" s="19">
        <f>N4-N3</f>
        <v>64457514184</v>
      </c>
    </row>
    <row r="5" spans="1:15" ht="15.5" x14ac:dyDescent="0.35">
      <c r="A5" s="1">
        <v>4</v>
      </c>
      <c r="B5" s="2" t="s">
        <v>3</v>
      </c>
      <c r="C5" s="1">
        <v>2020</v>
      </c>
      <c r="D5" s="36">
        <v>365763908254</v>
      </c>
      <c r="E5" s="36">
        <v>155993828988</v>
      </c>
      <c r="F5" s="36">
        <f>53165125250+3389308660+38807515000+2311324759+1000000000</f>
        <v>98673273669</v>
      </c>
      <c r="G5" s="36">
        <v>5338247012</v>
      </c>
      <c r="H5" s="37">
        <f t="shared" si="0"/>
        <v>104011520681</v>
      </c>
      <c r="I5" s="36">
        <v>156230000000</v>
      </c>
      <c r="J5" s="40">
        <f>156229284960-8520962475-10964575454</f>
        <v>136743747031</v>
      </c>
      <c r="K5" s="36">
        <v>10964575454</v>
      </c>
      <c r="L5" s="39">
        <f t="shared" si="1"/>
        <v>105758558585</v>
      </c>
      <c r="M5" s="35">
        <f t="shared" si="2"/>
        <v>8521677515</v>
      </c>
      <c r="N5" s="19">
        <f t="shared" si="3"/>
        <v>97236881070</v>
      </c>
      <c r="O5" s="19">
        <f>N5-N4</f>
        <v>-57080103247</v>
      </c>
    </row>
    <row r="6" spans="1:15" ht="15.5" x14ac:dyDescent="0.35">
      <c r="A6" s="1">
        <v>5</v>
      </c>
      <c r="B6" s="2" t="s">
        <v>3</v>
      </c>
      <c r="C6" s="1">
        <v>2021</v>
      </c>
      <c r="D6" s="36">
        <v>527852244647</v>
      </c>
      <c r="E6" s="36">
        <v>236157460614</v>
      </c>
      <c r="F6" s="36">
        <f>122869225125+2252634930+56976096000+2184084778+1000000000</f>
        <v>185282040833</v>
      </c>
      <c r="G6" s="36">
        <v>8077944677</v>
      </c>
      <c r="H6" s="37">
        <f t="shared" si="0"/>
        <v>193359985510</v>
      </c>
      <c r="I6" s="36">
        <v>219400000000</v>
      </c>
      <c r="J6" s="40">
        <f>219398368810-3324384530-24080932611</f>
        <v>191993051669</v>
      </c>
      <c r="K6" s="36">
        <v>24080932611</v>
      </c>
      <c r="L6" s="39">
        <f t="shared" si="1"/>
        <v>98334798523</v>
      </c>
      <c r="M6" s="35">
        <f t="shared" si="2"/>
        <v>3326015720</v>
      </c>
      <c r="N6" s="19">
        <f t="shared" si="3"/>
        <v>95008782803</v>
      </c>
      <c r="O6" s="19">
        <f>N6-N5</f>
        <v>-2228098267</v>
      </c>
    </row>
    <row r="7" spans="1:15" ht="15.5" x14ac:dyDescent="0.35">
      <c r="A7" s="1">
        <v>6</v>
      </c>
      <c r="B7" s="2" t="s">
        <v>4</v>
      </c>
      <c r="C7" s="1">
        <v>2017</v>
      </c>
      <c r="D7" s="36">
        <v>858490283480</v>
      </c>
      <c r="E7" s="36">
        <v>265738628652</v>
      </c>
      <c r="F7" s="36">
        <f>203559267612+199781087636+120962510367+7313197000+1901731313</f>
        <v>533517793928</v>
      </c>
      <c r="G7" s="36">
        <v>2514688946</v>
      </c>
      <c r="H7" s="37">
        <f t="shared" si="0"/>
        <v>536032482874</v>
      </c>
      <c r="I7" s="36">
        <v>403521972590</v>
      </c>
      <c r="J7" s="40">
        <f>403521972950-36619253244-14642983000-233483356743-18898350616</f>
        <v>99878029347</v>
      </c>
      <c r="K7" s="36">
        <v>36619253244</v>
      </c>
      <c r="L7" s="39">
        <f t="shared" si="1"/>
        <v>56719171954</v>
      </c>
      <c r="M7" s="35">
        <f t="shared" si="2"/>
        <v>267024689999</v>
      </c>
      <c r="N7" s="19">
        <f t="shared" si="3"/>
        <v>-210305518045</v>
      </c>
      <c r="O7" s="9"/>
    </row>
    <row r="8" spans="1:15" x14ac:dyDescent="0.35">
      <c r="A8" s="1">
        <v>7</v>
      </c>
      <c r="B8" s="1" t="s">
        <v>4</v>
      </c>
      <c r="C8" s="1">
        <v>2018</v>
      </c>
      <c r="D8" s="36">
        <v>969866560976</v>
      </c>
      <c r="E8" s="36">
        <v>320101149649</v>
      </c>
      <c r="F8" s="36">
        <f>231082763503+229934584995+122306586000+7058080000+1901731313</f>
        <v>592283745811</v>
      </c>
      <c r="G8" s="36">
        <v>7717961287</v>
      </c>
      <c r="H8" s="37">
        <f t="shared" si="0"/>
        <v>600001707098</v>
      </c>
      <c r="I8" s="36">
        <v>450272263738</v>
      </c>
      <c r="J8" s="40">
        <f>1113802274+89246619825+21790129723+545482187+12089534682</f>
        <v>124785568691</v>
      </c>
      <c r="K8" s="36">
        <v>37067363957</v>
      </c>
      <c r="L8" s="39">
        <f t="shared" si="1"/>
        <v>49763704229</v>
      </c>
      <c r="M8" s="35">
        <f t="shared" si="2"/>
        <v>288419331090</v>
      </c>
      <c r="N8" s="19">
        <f t="shared" si="3"/>
        <v>-238655626861</v>
      </c>
      <c r="O8" s="19">
        <f>N8-N7</f>
        <v>-28350108816</v>
      </c>
    </row>
    <row r="9" spans="1:15" x14ac:dyDescent="0.35">
      <c r="A9" s="1">
        <v>8</v>
      </c>
      <c r="B9" s="1" t="s">
        <v>4</v>
      </c>
      <c r="C9" s="1">
        <v>2019</v>
      </c>
      <c r="D9" s="36">
        <v>975687462693</v>
      </c>
      <c r="E9" s="36">
        <v>317063416058</v>
      </c>
      <c r="F9" s="36">
        <f>216749320000+351654846593+18196797270+7268626000</f>
        <v>593869589863</v>
      </c>
      <c r="G9" s="36">
        <v>11190946006</v>
      </c>
      <c r="H9" s="37">
        <f t="shared" si="0"/>
        <v>605060535869</v>
      </c>
      <c r="I9" s="36">
        <v>445392630259</v>
      </c>
      <c r="J9" s="40">
        <f>1534991608+71566715136+15627966323+617272865+5147113476</f>
        <v>94494059408</v>
      </c>
      <c r="K9" s="36">
        <v>61784924599</v>
      </c>
      <c r="L9" s="39">
        <f t="shared" si="1"/>
        <v>53563510766</v>
      </c>
      <c r="M9" s="35">
        <f t="shared" si="2"/>
        <v>289113646252</v>
      </c>
      <c r="N9" s="19">
        <f t="shared" si="3"/>
        <v>-235550135486</v>
      </c>
      <c r="O9" s="19">
        <f t="shared" ref="O9:O11" si="4">N9-N8</f>
        <v>3105491375</v>
      </c>
    </row>
    <row r="10" spans="1:15" x14ac:dyDescent="0.35">
      <c r="A10" s="1">
        <v>9</v>
      </c>
      <c r="B10" s="1" t="s">
        <v>4</v>
      </c>
      <c r="C10" s="1">
        <v>2020</v>
      </c>
      <c r="D10" s="36">
        <v>990991744064</v>
      </c>
      <c r="E10" s="36">
        <v>528285486877</v>
      </c>
      <c r="F10" s="36">
        <f>61000000000+299816222397+18196797270+5416648000</f>
        <v>384429667667</v>
      </c>
      <c r="G10" s="36">
        <v>12967320338</v>
      </c>
      <c r="H10" s="37">
        <f t="shared" si="0"/>
        <v>397396988005</v>
      </c>
      <c r="I10" s="36">
        <v>547541424689</v>
      </c>
      <c r="J10" s="40">
        <f>460283470+36757191276+22406237281+391760750+1230443792</f>
        <v>61245916569</v>
      </c>
      <c r="K10" s="36">
        <v>56237287760</v>
      </c>
      <c r="L10" s="39">
        <f t="shared" si="1"/>
        <v>65309269182</v>
      </c>
      <c r="M10" s="35">
        <f t="shared" si="2"/>
        <v>430058220360</v>
      </c>
      <c r="N10" s="19">
        <f t="shared" si="3"/>
        <v>-364748951178</v>
      </c>
      <c r="O10" s="19">
        <f t="shared" si="4"/>
        <v>-129198815692</v>
      </c>
    </row>
    <row r="11" spans="1:15" x14ac:dyDescent="0.35">
      <c r="A11" s="1">
        <v>10</v>
      </c>
      <c r="B11" s="1" t="s">
        <v>4</v>
      </c>
      <c r="C11" s="1">
        <v>2021</v>
      </c>
      <c r="D11" s="36">
        <v>981089572950</v>
      </c>
      <c r="E11" s="36">
        <v>418850978640</v>
      </c>
      <c r="F11" s="36">
        <f>79736000000+323916974817+10377006750+47111957330</f>
        <v>461141938897</v>
      </c>
      <c r="G11" s="36">
        <v>25737796822</v>
      </c>
      <c r="H11" s="37">
        <f t="shared" si="0"/>
        <v>486879735719</v>
      </c>
      <c r="I11" s="36">
        <v>518209589004</v>
      </c>
      <c r="J11" s="40">
        <f>3237593569+3491647273+31148406534+633605432+4987600229</f>
        <v>43498853037</v>
      </c>
      <c r="K11" s="36">
        <v>27945351289</v>
      </c>
      <c r="L11" s="39">
        <f t="shared" si="1"/>
        <v>75358858591</v>
      </c>
      <c r="M11" s="35">
        <f t="shared" si="2"/>
        <v>446765384678</v>
      </c>
      <c r="N11" s="19">
        <f t="shared" si="3"/>
        <v>-371406526087</v>
      </c>
      <c r="O11" s="19">
        <f t="shared" si="4"/>
        <v>-6657574909</v>
      </c>
    </row>
    <row r="12" spans="1:15" x14ac:dyDescent="0.35">
      <c r="A12" s="1">
        <v>11</v>
      </c>
      <c r="B12" s="1" t="s">
        <v>5</v>
      </c>
      <c r="C12" s="1">
        <v>2017</v>
      </c>
      <c r="D12" s="36">
        <v>709330084000000</v>
      </c>
      <c r="E12" s="36">
        <v>536647607577664</v>
      </c>
      <c r="F12" s="36">
        <f>36049899000000+679122000000+79849452000000+713423000000</f>
        <v>117291896000000</v>
      </c>
      <c r="G12" s="36">
        <v>2318516000000</v>
      </c>
      <c r="H12" s="37">
        <f t="shared" si="0"/>
        <v>119610412000000</v>
      </c>
      <c r="I12" s="36">
        <v>584086818000000</v>
      </c>
      <c r="J12" s="4">
        <f>4867547000000+492747948000000+11734207000000+971479000000+80425000000+4093855000000</f>
        <v>514495461000000</v>
      </c>
      <c r="K12" s="36">
        <f>2390066000000+2986279000000+44670741000000</f>
        <v>50047086000000</v>
      </c>
      <c r="L12" s="39">
        <f t="shared" si="1"/>
        <v>53072064422336</v>
      </c>
      <c r="M12" s="35">
        <f t="shared" si="2"/>
        <v>19544271000000</v>
      </c>
      <c r="N12" s="19">
        <f t="shared" si="3"/>
        <v>33527793422336</v>
      </c>
      <c r="O12" s="9"/>
    </row>
    <row r="13" spans="1:15" x14ac:dyDescent="0.35">
      <c r="A13" s="1">
        <v>12</v>
      </c>
      <c r="B13" s="1" t="s">
        <v>5</v>
      </c>
      <c r="C13" s="1">
        <v>2018</v>
      </c>
      <c r="D13" s="36">
        <v>808572011000000</v>
      </c>
      <c r="E13" s="36">
        <v>628563451000000</v>
      </c>
      <c r="F13" s="36">
        <f>32044270000000+86791402000000+603923000000</f>
        <v>119439595000000</v>
      </c>
      <c r="G13" s="36">
        <v>2337403000000</v>
      </c>
      <c r="H13" s="37">
        <f t="shared" si="0"/>
        <v>121776998000000</v>
      </c>
      <c r="I13" s="36">
        <v>671237546000000</v>
      </c>
      <c r="J13" s="4">
        <f>671237546000000-99953000000-52024506000000-2987464-14608465000000-177519000000-4416613000000-21524329000000-322028000000</f>
        <v>578064130012536</v>
      </c>
      <c r="K13" s="36">
        <f>21524329000000+2987464000000+52024506000000+99953000000</f>
        <v>76636252000000</v>
      </c>
      <c r="L13" s="39">
        <f t="shared" si="1"/>
        <v>58231562000000</v>
      </c>
      <c r="M13" s="35">
        <f t="shared" si="2"/>
        <v>16537163987464</v>
      </c>
      <c r="N13" s="19">
        <f t="shared" si="3"/>
        <v>41694398012536</v>
      </c>
      <c r="O13" s="19">
        <f>N13-N12</f>
        <v>8166604590200</v>
      </c>
    </row>
    <row r="14" spans="1:15" x14ac:dyDescent="0.35">
      <c r="A14" s="1">
        <v>13</v>
      </c>
      <c r="B14" s="1" t="s">
        <v>5</v>
      </c>
      <c r="C14" s="1">
        <v>2019</v>
      </c>
      <c r="D14" s="36">
        <v>845605208000000</v>
      </c>
      <c r="E14" s="36">
        <v>683514765000000</v>
      </c>
      <c r="F14" s="36">
        <f>27161751000000+411442000000+81029020000000+523103000000</f>
        <v>109125316000000</v>
      </c>
      <c r="G14" s="36">
        <v>2609259000000</v>
      </c>
      <c r="H14" s="37">
        <f t="shared" si="0"/>
        <v>111734575000000</v>
      </c>
      <c r="I14" s="36">
        <v>688489442000000</v>
      </c>
      <c r="J14" s="4">
        <f>688489442000000-99965000000-57235500000000-2985052000000-14900956000000-185019000000-5341440000000-203054000000-2183403000000</f>
        <v>605355053000000</v>
      </c>
      <c r="K14" s="36">
        <f>2183403000000+2985052000000+57235500000000+99965000000</f>
        <v>62503920000000</v>
      </c>
      <c r="L14" s="39">
        <f t="shared" si="1"/>
        <v>50355868000000</v>
      </c>
      <c r="M14" s="35">
        <f t="shared" si="2"/>
        <v>20630469000000</v>
      </c>
      <c r="N14" s="19">
        <f t="shared" si="3"/>
        <v>29725399000000</v>
      </c>
      <c r="O14" s="19">
        <f t="shared" ref="O14:O16" si="5">N14-N13</f>
        <v>-11968999012536</v>
      </c>
    </row>
    <row r="15" spans="1:15" x14ac:dyDescent="0.35">
      <c r="A15" s="1">
        <v>14</v>
      </c>
      <c r="B15" s="1" t="s">
        <v>5</v>
      </c>
      <c r="C15" s="1">
        <v>2020</v>
      </c>
      <c r="D15" s="36">
        <v>891337425000000</v>
      </c>
      <c r="E15" s="36">
        <v>698136164000000</v>
      </c>
      <c r="F15" s="36">
        <f>29686597000000+8666091000000+90659318000000+813087000000</f>
        <v>129825093000000</v>
      </c>
      <c r="G15" s="36">
        <v>2807092000000</v>
      </c>
      <c r="H15" s="37">
        <f t="shared" si="0"/>
        <v>132632185000000</v>
      </c>
      <c r="I15" s="36">
        <v>746235663000000</v>
      </c>
      <c r="J15" s="4">
        <f>746235663000000-99979000000-44114314000000-2985011000000-18280485000000-1421914000000-5500360000000-2590268000000-414280000000</f>
        <v>670829052000000</v>
      </c>
      <c r="K15" s="36">
        <f>2590268000000+2985011000000+44114314000000+99975000000</f>
        <v>49789568000000</v>
      </c>
      <c r="L15" s="39">
        <f t="shared" si="1"/>
        <v>60569076000000</v>
      </c>
      <c r="M15" s="35">
        <f t="shared" si="2"/>
        <v>25617043000000</v>
      </c>
      <c r="N15" s="19">
        <f t="shared" si="3"/>
        <v>34952033000000</v>
      </c>
      <c r="O15" s="19">
        <f t="shared" si="5"/>
        <v>5226634000000</v>
      </c>
    </row>
    <row r="16" spans="1:15" x14ac:dyDescent="0.35">
      <c r="A16" s="1">
        <v>15</v>
      </c>
      <c r="B16" s="1" t="s">
        <v>5</v>
      </c>
      <c r="C16" s="1">
        <v>2021</v>
      </c>
      <c r="D16" s="36">
        <v>964837692000000</v>
      </c>
      <c r="E16" s="36">
        <v>735846646000000</v>
      </c>
      <c r="F16" s="36">
        <f>8688406000000+111428330000000+22010968000000+25802962000000+829763000000</f>
        <v>168760429000000</v>
      </c>
      <c r="G16" s="36">
        <v>3095927000000</v>
      </c>
      <c r="H16" s="37">
        <f t="shared" si="0"/>
        <v>171856356000000</v>
      </c>
      <c r="I16" s="36">
        <v>838317715000000</v>
      </c>
      <c r="J16" s="4">
        <f>838317715000000-15764682000000-32457936000000-2986530000000-20542001000000-2276397000000-5588069000000-1828652000000-109948000000</f>
        <v>756763500000000</v>
      </c>
      <c r="K16" s="36">
        <f>1828652000000+2986530000000+32457936000000+15764682000000</f>
        <v>53037800000000</v>
      </c>
      <c r="L16" s="39">
        <f t="shared" si="1"/>
        <v>57134690000000</v>
      </c>
      <c r="M16" s="35">
        <f t="shared" si="2"/>
        <v>28516415000000</v>
      </c>
      <c r="N16" s="19">
        <f t="shared" si="3"/>
        <v>28618275000000</v>
      </c>
      <c r="O16" s="19">
        <f t="shared" si="5"/>
        <v>-6333758000000</v>
      </c>
    </row>
    <row r="17" spans="1:15" x14ac:dyDescent="0.35">
      <c r="A17" s="1">
        <v>16</v>
      </c>
      <c r="B17" s="1" t="s">
        <v>6</v>
      </c>
      <c r="C17" s="1">
        <v>2017</v>
      </c>
      <c r="D17" s="36">
        <v>261365267000000</v>
      </c>
      <c r="E17" s="36">
        <v>235478618000000</v>
      </c>
      <c r="F17" s="36">
        <f>7706031000000+8183973000000</f>
        <v>15890004000000</v>
      </c>
      <c r="G17" s="36">
        <f>769454000000+413079000000</f>
        <v>1182533000000</v>
      </c>
      <c r="H17" s="37">
        <f t="shared" si="0"/>
        <v>17072537000000</v>
      </c>
      <c r="I17" s="36">
        <v>223937463000000</v>
      </c>
      <c r="J17" s="4">
        <f>223937463000000-2999319000000-5612462000000-7991053000000-20480459000000-8081000000-1385000000000-85481932000000</f>
        <v>99979157000000</v>
      </c>
      <c r="K17" s="36">
        <f>85481932000000+7991053000000+2999319000000</f>
        <v>96472304000000</v>
      </c>
      <c r="L17" s="39">
        <f t="shared" si="1"/>
        <v>8814112000000</v>
      </c>
      <c r="M17" s="35">
        <f t="shared" si="2"/>
        <v>27486002000000</v>
      </c>
      <c r="N17" s="19">
        <f t="shared" si="3"/>
        <v>-18671890000000</v>
      </c>
      <c r="O17" s="9"/>
    </row>
    <row r="18" spans="1:15" x14ac:dyDescent="0.35">
      <c r="A18" s="1">
        <v>17</v>
      </c>
      <c r="B18" s="1" t="s">
        <v>6</v>
      </c>
      <c r="C18" s="1">
        <v>2018</v>
      </c>
      <c r="D18" s="36">
        <v>306436194000000</v>
      </c>
      <c r="E18" s="36">
        <v>279700978000000</v>
      </c>
      <c r="F18" s="36">
        <f>5848485000000+9393138000000</f>
        <v>15241623000000</v>
      </c>
      <c r="G18" s="36">
        <f>1270875000000+409138000000</f>
        <v>1680013000000</v>
      </c>
      <c r="H18" s="37">
        <f t="shared" si="0"/>
        <v>16921636000000</v>
      </c>
      <c r="I18" s="36">
        <v>263784017000000</v>
      </c>
      <c r="J18" s="4">
        <f>263784017000000-2999519000000-6217814000000-15499493000000-20644760000000-528148000000-935000000000-115462283000000</f>
        <v>101497000000000</v>
      </c>
      <c r="K18" s="36">
        <f>115462283000000+15499493000000+2999519000000</f>
        <v>133961295000000</v>
      </c>
      <c r="L18" s="39">
        <f t="shared" si="1"/>
        <v>9813580000000</v>
      </c>
      <c r="M18" s="35">
        <f t="shared" si="2"/>
        <v>28325722000000</v>
      </c>
      <c r="N18" s="19">
        <f t="shared" si="3"/>
        <v>-18512142000000</v>
      </c>
      <c r="O18" s="19">
        <f>N18-N17</f>
        <v>159748000000</v>
      </c>
    </row>
    <row r="19" spans="1:15" x14ac:dyDescent="0.35">
      <c r="A19" s="1">
        <v>18</v>
      </c>
      <c r="B19" s="1" t="s">
        <v>6</v>
      </c>
      <c r="C19" s="1">
        <v>2019</v>
      </c>
      <c r="D19" s="36">
        <v>311776828000000</v>
      </c>
      <c r="E19" s="36">
        <v>264961513000000</v>
      </c>
      <c r="F19" s="36">
        <f>8084671000000+11053601000000+1875221000000</f>
        <v>21013493000000</v>
      </c>
      <c r="G19" s="36">
        <f>402428000000+803479000000</f>
        <v>1205907000000</v>
      </c>
      <c r="H19" s="37">
        <f t="shared" si="0"/>
        <v>22219400000000</v>
      </c>
      <c r="I19" s="36">
        <v>269451682000000</v>
      </c>
      <c r="J19" s="4">
        <f>269451682000000-5999669000000-5736637000000-19783552000000-22465657000000-487052000000-935000000000-113929798000000</f>
        <v>100114317000000</v>
      </c>
      <c r="K19" s="36">
        <f>113929768000000+22465657000000+5999669000000</f>
        <v>142395094000000</v>
      </c>
      <c r="L19" s="39">
        <f t="shared" si="1"/>
        <v>24595915000000</v>
      </c>
      <c r="M19" s="35">
        <f t="shared" si="2"/>
        <v>26942271000000</v>
      </c>
      <c r="N19" s="19">
        <f t="shared" si="3"/>
        <v>-2346356000000</v>
      </c>
      <c r="O19" s="19">
        <f t="shared" ref="O19:O21" si="6">N19-N18</f>
        <v>16165786000000</v>
      </c>
    </row>
    <row r="20" spans="1:15" x14ac:dyDescent="0.35">
      <c r="A20" s="1">
        <v>19</v>
      </c>
      <c r="B20" s="1" t="s">
        <v>6</v>
      </c>
      <c r="C20" s="1">
        <v>2020</v>
      </c>
      <c r="D20" s="36">
        <v>361208406000000</v>
      </c>
      <c r="E20" s="36">
        <v>282901116000000</v>
      </c>
      <c r="F20" s="36">
        <f>3203966000000+56287751000000+954955000000</f>
        <v>60446672000000</v>
      </c>
      <c r="G20" s="36">
        <f>402428000000+386848000000</f>
        <v>789276000000</v>
      </c>
      <c r="H20" s="37">
        <f t="shared" si="0"/>
        <v>61235948000000</v>
      </c>
      <c r="I20" s="36">
        <v>321376142000000</v>
      </c>
      <c r="J20" s="4">
        <f>321376142000000-10194432000000-6666875000000-6489000000-15810466000000-23807138000000-22787000000-196071000000-147858608000000</f>
        <v>116813276000000</v>
      </c>
      <c r="K20" s="36">
        <f>147858608000000+23807138000000+10194432000000</f>
        <v>181860178000000</v>
      </c>
      <c r="L20" s="39">
        <f t="shared" si="1"/>
        <v>17071342000000</v>
      </c>
      <c r="M20" s="35">
        <f t="shared" si="2"/>
        <v>22702688000000</v>
      </c>
      <c r="N20" s="19">
        <f t="shared" si="3"/>
        <v>-5631346000000</v>
      </c>
      <c r="O20" s="19">
        <f t="shared" si="6"/>
        <v>-3284990000000</v>
      </c>
    </row>
    <row r="21" spans="1:15" x14ac:dyDescent="0.35">
      <c r="A21" s="1">
        <v>20</v>
      </c>
      <c r="B21" s="1" t="s">
        <v>6</v>
      </c>
      <c r="C21" s="1">
        <v>2021</v>
      </c>
      <c r="D21" s="36">
        <v>371868311000000</v>
      </c>
      <c r="E21" s="36">
        <v>302112274000000</v>
      </c>
      <c r="F21" s="36">
        <f>2230905000000+46080298000000+1598325000000</f>
        <v>49909528000000</v>
      </c>
      <c r="G21" s="36">
        <f>402428000000+367925000000</f>
        <v>770353000000</v>
      </c>
      <c r="H21" s="37">
        <f t="shared" si="0"/>
        <v>50679881000000</v>
      </c>
      <c r="I21" s="36">
        <v>327693592000000</v>
      </c>
      <c r="J21" s="4">
        <f>327693592000000-8759744000000-6618300000000-3644000000-12371708000000-22062291000000-17741000000-454140000000-146520589000000</f>
        <v>130885435000000</v>
      </c>
      <c r="K21" s="36">
        <f>146520589000000+22062291000000+8759744000000</f>
        <v>177342624000000</v>
      </c>
      <c r="L21" s="39">
        <f t="shared" si="1"/>
        <v>19076156000000</v>
      </c>
      <c r="M21" s="35">
        <f t="shared" si="2"/>
        <v>19465533000000</v>
      </c>
      <c r="N21" s="19">
        <f t="shared" si="3"/>
        <v>-389377000000</v>
      </c>
      <c r="O21" s="19">
        <f t="shared" si="6"/>
        <v>5241969000000</v>
      </c>
    </row>
    <row r="22" spans="1:15" x14ac:dyDescent="0.35">
      <c r="A22" s="1">
        <v>21</v>
      </c>
      <c r="B22" s="1" t="s">
        <v>7</v>
      </c>
      <c r="C22" s="1">
        <v>2017</v>
      </c>
      <c r="D22" s="36">
        <v>19883263000000</v>
      </c>
      <c r="E22" s="36">
        <v>6553454000000</v>
      </c>
      <c r="F22" s="36">
        <f>7012000000+269888000000+3998739000000</f>
        <v>4275639000000</v>
      </c>
      <c r="G22" s="36">
        <f>20083000000+40830000000</f>
        <v>60913000000</v>
      </c>
      <c r="H22" s="37">
        <f t="shared" si="0"/>
        <v>4336552000000</v>
      </c>
      <c r="I22" s="36">
        <v>14255743000000</v>
      </c>
      <c r="J22" s="4">
        <f>533534000000+8443515000000+197257000000+14726000000+172534000000+27056000000</f>
        <v>9388622000000</v>
      </c>
      <c r="K22" s="36">
        <f>288999000000+2002729000000+556018000000+105067000000+294208000000+47394000000</f>
        <v>3294415000000</v>
      </c>
      <c r="L22" s="39">
        <f t="shared" si="1"/>
        <v>8993257000000</v>
      </c>
      <c r="M22" s="35">
        <f t="shared" si="2"/>
        <v>1572706000000</v>
      </c>
      <c r="N22" s="19">
        <f t="shared" si="3"/>
        <v>7420551000000</v>
      </c>
      <c r="O22" s="9"/>
    </row>
    <row r="23" spans="1:15" x14ac:dyDescent="0.35">
      <c r="A23" s="1">
        <v>22</v>
      </c>
      <c r="B23" s="1" t="s">
        <v>7</v>
      </c>
      <c r="C23" s="1">
        <v>2018</v>
      </c>
      <c r="D23" s="36">
        <v>18762724000000</v>
      </c>
      <c r="E23" s="36">
        <v>5246022000000</v>
      </c>
      <c r="F23" s="36">
        <f>254124000000+3951878000000</f>
        <v>4206002000000</v>
      </c>
      <c r="G23" s="36">
        <f>20689000000+37985000000</f>
        <v>58674000000</v>
      </c>
      <c r="H23" s="37">
        <f t="shared" si="0"/>
        <v>4264676000000</v>
      </c>
      <c r="I23" s="36">
        <v>13015396000000</v>
      </c>
      <c r="J23" s="4">
        <f>823273000000+7604794000000+740092000000+37937000000+113873000000+22277000000</f>
        <v>9342246000000</v>
      </c>
      <c r="K23" s="36">
        <f>149244000000+1442761000000+393305000000+12605000000+365566000000+56620000000</f>
        <v>2420101000000</v>
      </c>
      <c r="L23" s="39">
        <f t="shared" si="1"/>
        <v>9252026000000</v>
      </c>
      <c r="M23" s="35">
        <f t="shared" si="2"/>
        <v>1253049000000</v>
      </c>
      <c r="N23" s="19">
        <f t="shared" si="3"/>
        <v>7998977000000</v>
      </c>
      <c r="O23" s="19">
        <f>N23-N22</f>
        <v>578426000000</v>
      </c>
    </row>
    <row r="24" spans="1:15" x14ac:dyDescent="0.35">
      <c r="A24" s="1">
        <v>23</v>
      </c>
      <c r="B24" s="1" t="s">
        <v>7</v>
      </c>
      <c r="C24" s="1">
        <v>2019</v>
      </c>
      <c r="D24" s="36">
        <v>18385005000000</v>
      </c>
      <c r="E24" s="36">
        <v>4131645000000</v>
      </c>
      <c r="F24" s="36">
        <f>419938000000+3601868000000</f>
        <v>4021806000000</v>
      </c>
      <c r="G24" s="36">
        <f>32263000000+40517000000</f>
        <v>72780000000</v>
      </c>
      <c r="H24" s="37">
        <f t="shared" si="0"/>
        <v>4094586000000</v>
      </c>
      <c r="I24" s="36">
        <v>12839026000000</v>
      </c>
      <c r="J24" s="4">
        <f>409096000000+7895637000000+393715000000+48486000000+201472000000+313175000000+32272000000</f>
        <v>9293853000000</v>
      </c>
      <c r="K24" s="36">
        <f>165766000000+1264045000000+287209000000+5339000000+318093000000+35360000000</f>
        <v>2075812000000</v>
      </c>
      <c r="L24" s="39">
        <f t="shared" si="1"/>
        <v>10158774000000</v>
      </c>
      <c r="M24" s="35">
        <f t="shared" si="2"/>
        <v>1469361000000</v>
      </c>
      <c r="N24" s="19">
        <f t="shared" si="3"/>
        <v>8689413000000</v>
      </c>
      <c r="O24" s="19">
        <f t="shared" ref="O24:O26" si="7">N24-N23</f>
        <v>690436000000</v>
      </c>
    </row>
    <row r="25" spans="1:15" x14ac:dyDescent="0.35">
      <c r="A25" s="1">
        <v>24</v>
      </c>
      <c r="B25" s="1" t="s">
        <v>7</v>
      </c>
      <c r="C25" s="1">
        <v>2020</v>
      </c>
      <c r="D25" s="36">
        <v>19101546000000</v>
      </c>
      <c r="E25" s="36">
        <v>4672634000000</v>
      </c>
      <c r="F25" s="36">
        <f>349897000000+3695181000000</f>
        <v>4045078000000</v>
      </c>
      <c r="G25" s="36">
        <f>44891000000+27870000000</f>
        <v>72761000000</v>
      </c>
      <c r="H25" s="37">
        <f t="shared" si="0"/>
        <v>4117839000000</v>
      </c>
      <c r="I25" s="36">
        <v>14007712000000</v>
      </c>
      <c r="J25" s="4">
        <f>753682000000+8315127000000+490103000000+173797000000+421663000000+498855000000+25398000000</f>
        <v>10678625000000</v>
      </c>
      <c r="K25" s="36">
        <f>232033000000+976791000000+194891000000+1000000000+298673000000+9523000000</f>
        <v>1712911000000</v>
      </c>
      <c r="L25" s="39">
        <f t="shared" si="1"/>
        <v>10311073000000</v>
      </c>
      <c r="M25" s="35">
        <f t="shared" si="2"/>
        <v>1616176000000</v>
      </c>
      <c r="N25" s="19">
        <f t="shared" si="3"/>
        <v>8694897000000</v>
      </c>
      <c r="O25" s="19">
        <f t="shared" si="7"/>
        <v>5484000000</v>
      </c>
    </row>
    <row r="26" spans="1:15" x14ac:dyDescent="0.35">
      <c r="A26" s="1">
        <v>25</v>
      </c>
      <c r="B26" s="1" t="s">
        <v>7</v>
      </c>
      <c r="C26" s="1">
        <v>2021</v>
      </c>
      <c r="D26" s="36">
        <v>21653968000000</v>
      </c>
      <c r="E26" s="36">
        <v>5431154000000</v>
      </c>
      <c r="F26" s="36">
        <v>4582657000000</v>
      </c>
      <c r="G26" s="36">
        <f>46791000000+2878000000</f>
        <v>49669000000</v>
      </c>
      <c r="H26" s="37">
        <f t="shared" si="0"/>
        <v>4632326000000</v>
      </c>
      <c r="I26" s="36">
        <v>15646157000000</v>
      </c>
      <c r="J26" s="4">
        <f>11123446000000+130675000000+69299000000+385506000000+347083000000+29696000000</f>
        <v>12085705000000</v>
      </c>
      <c r="K26" s="36">
        <f>926766000000+248233000000+179253000000+3065000000+299155000000+13705000000</f>
        <v>1670177000000</v>
      </c>
      <c r="L26" s="39">
        <f t="shared" si="1"/>
        <v>11590488000000</v>
      </c>
      <c r="M26" s="35">
        <f t="shared" si="2"/>
        <v>1890275000000</v>
      </c>
      <c r="N26" s="19">
        <f t="shared" si="3"/>
        <v>9700213000000</v>
      </c>
      <c r="O26" s="19">
        <f t="shared" si="7"/>
        <v>1005316000000</v>
      </c>
    </row>
    <row r="27" spans="1:15" x14ac:dyDescent="0.35">
      <c r="A27" s="1">
        <v>26</v>
      </c>
      <c r="B27" s="1" t="s">
        <v>8</v>
      </c>
      <c r="C27" s="1">
        <v>2017</v>
      </c>
      <c r="D27" s="36">
        <v>178257092000000</v>
      </c>
      <c r="E27" s="36">
        <v>140368274000000</v>
      </c>
      <c r="F27" s="36">
        <f>19949000000+16039713000000+10974343000000+296028000000+122669000000</f>
        <v>27452702000000</v>
      </c>
      <c r="G27" s="36">
        <v>270146000000</v>
      </c>
      <c r="H27" s="37">
        <f t="shared" si="0"/>
        <v>27722848000000</v>
      </c>
      <c r="I27" s="36">
        <v>139084940000000</v>
      </c>
      <c r="J27" s="4">
        <f>129971000000+101766847000000+4634513000000+116526000000</f>
        <v>106647857000000</v>
      </c>
      <c r="K27" s="36">
        <f>10434000000+214100000000+9296065000000+661000000000+3047182000000+6747104000000</f>
        <v>19975885000000</v>
      </c>
      <c r="L27" s="39">
        <f t="shared" si="1"/>
        <v>10165970000000</v>
      </c>
      <c r="M27" s="35">
        <f t="shared" si="2"/>
        <v>12461198000000</v>
      </c>
      <c r="N27" s="19">
        <f t="shared" si="3"/>
        <v>-2295228000000</v>
      </c>
      <c r="O27" s="9"/>
    </row>
    <row r="28" spans="1:15" x14ac:dyDescent="0.35">
      <c r="A28" s="1">
        <v>27</v>
      </c>
      <c r="B28" s="1" t="s">
        <v>8</v>
      </c>
      <c r="C28" s="1">
        <v>2018</v>
      </c>
      <c r="D28" s="36">
        <v>186762189000000</v>
      </c>
      <c r="E28" s="36">
        <v>143923553000000</v>
      </c>
      <c r="F28" s="36">
        <f>767000000+9147993000000+10972634000000+126763000000</f>
        <v>20248157000000</v>
      </c>
      <c r="G28" s="36">
        <v>352833000000</v>
      </c>
      <c r="H28" s="37">
        <f t="shared" si="0"/>
        <v>20600990000000</v>
      </c>
      <c r="I28" s="36">
        <v>144822368000000</v>
      </c>
      <c r="J28" s="4">
        <f>118980000000+107576816000000+3152422000000+87011000000</f>
        <v>110935229000000</v>
      </c>
      <c r="K28" s="36">
        <f>93000000000+8818907000000+728000000000+11828091000000+87011000000+25000000000+248145000000</f>
        <v>21828154000000</v>
      </c>
      <c r="L28" s="39">
        <f t="shared" si="1"/>
        <v>22237646000000</v>
      </c>
      <c r="M28" s="35">
        <f t="shared" si="2"/>
        <v>12058985000000</v>
      </c>
      <c r="N28" s="19">
        <f t="shared" si="3"/>
        <v>10178661000000</v>
      </c>
      <c r="O28" s="19">
        <f>N28-N27</f>
        <v>12473889000000</v>
      </c>
    </row>
    <row r="29" spans="1:15" x14ac:dyDescent="0.35">
      <c r="A29" s="1">
        <v>28</v>
      </c>
      <c r="B29" s="1" t="s">
        <v>8</v>
      </c>
      <c r="C29" s="1">
        <v>2019</v>
      </c>
      <c r="D29" s="36">
        <v>193533970000000</v>
      </c>
      <c r="E29" s="36">
        <v>154362647000000</v>
      </c>
      <c r="F29" s="36">
        <f>9405926000000+14227098000000+3732413000000+115592000000+908858000000</f>
        <v>28389887000000</v>
      </c>
      <c r="G29" s="36">
        <v>444931000000</v>
      </c>
      <c r="H29" s="37">
        <f t="shared" si="0"/>
        <v>28834818000000</v>
      </c>
      <c r="I29" s="36">
        <v>148116943000000</v>
      </c>
      <c r="J29" s="4">
        <f>590957000000+109200953000000+266031000000+4215474000000+473076000000</f>
        <v>114746491000000</v>
      </c>
      <c r="K29" s="36">
        <f>490000000000+12319342000000+40000000000+597000000000+10350058000000+25000000</f>
        <v>23796425000000</v>
      </c>
      <c r="L29" s="39">
        <f t="shared" si="1"/>
        <v>10336505000000</v>
      </c>
      <c r="M29" s="35">
        <f t="shared" si="2"/>
        <v>9574027000000</v>
      </c>
      <c r="N29" s="19">
        <f t="shared" si="3"/>
        <v>762478000000</v>
      </c>
      <c r="O29" s="19">
        <f t="shared" ref="O29:O31" si="8">N29-N28</f>
        <v>-9416183000000</v>
      </c>
    </row>
    <row r="30" spans="1:15" x14ac:dyDescent="0.35">
      <c r="A30" s="1">
        <v>29</v>
      </c>
      <c r="B30" s="1" t="s">
        <v>8</v>
      </c>
      <c r="C30" s="1">
        <v>2020</v>
      </c>
      <c r="D30" s="36">
        <v>200890068000000</v>
      </c>
      <c r="E30" s="36">
        <v>145488655000000</v>
      </c>
      <c r="F30" s="36">
        <f>4689271000000+25534635000000+12126419000000+107213000000+924518000000</f>
        <v>43382056000000</v>
      </c>
      <c r="G30" s="36">
        <v>253386000000</v>
      </c>
      <c r="H30" s="37">
        <f t="shared" si="0"/>
        <v>43635442000000</v>
      </c>
      <c r="I30" s="36">
        <v>157314569000000</v>
      </c>
      <c r="J30" s="4">
        <f>298081000000+123435123000000+78494000000+2399231000000+300857000000</f>
        <v>126511786000000</v>
      </c>
      <c r="K30" s="36">
        <f>430000000000+7483559000000+478000000000+8952442000000</f>
        <v>17344001000000</v>
      </c>
      <c r="L30" s="39">
        <f t="shared" si="1"/>
        <v>11765971000000</v>
      </c>
      <c r="M30" s="35">
        <f t="shared" si="2"/>
        <v>13458782000000</v>
      </c>
      <c r="N30" s="19">
        <f t="shared" si="3"/>
        <v>-1692811000000</v>
      </c>
      <c r="O30" s="19">
        <f t="shared" si="8"/>
        <v>-2455289000000</v>
      </c>
    </row>
    <row r="31" spans="1:15" x14ac:dyDescent="0.35">
      <c r="A31" s="1">
        <v>30</v>
      </c>
      <c r="B31" s="1" t="s">
        <v>8</v>
      </c>
      <c r="C31" s="1">
        <v>2021</v>
      </c>
      <c r="D31" s="36">
        <v>192239698000000</v>
      </c>
      <c r="E31" s="36">
        <v>141166331000000</v>
      </c>
      <c r="F31" s="36">
        <f>5514043000000+30337737000000+82078000000+949009000000</f>
        <v>36882867000000</v>
      </c>
      <c r="G31" s="36">
        <v>281055000000</v>
      </c>
      <c r="H31" s="37">
        <f t="shared" si="0"/>
        <v>37163922000000</v>
      </c>
      <c r="I31" s="36">
        <v>147156640000000</v>
      </c>
      <c r="J31" s="4">
        <f>962547000000+120106770000000+65813000000+2218774000000+212184000000</f>
        <v>123566088000000</v>
      </c>
      <c r="K31" s="36">
        <f>270000000000+6078234000000+402000000000+666667000000+3608879000000+25000000000</f>
        <v>11050780000000</v>
      </c>
      <c r="L31" s="39">
        <f t="shared" si="1"/>
        <v>13909445000000</v>
      </c>
      <c r="M31" s="35">
        <f t="shared" si="2"/>
        <v>12539772000000</v>
      </c>
      <c r="N31" s="19">
        <f t="shared" si="3"/>
        <v>1369673000000</v>
      </c>
      <c r="O31" s="19">
        <f t="shared" si="8"/>
        <v>3062484000000</v>
      </c>
    </row>
    <row r="32" spans="1:15" x14ac:dyDescent="0.35">
      <c r="A32" s="1">
        <v>31</v>
      </c>
      <c r="B32" s="1" t="s">
        <v>9</v>
      </c>
      <c r="C32" s="1">
        <v>2017</v>
      </c>
      <c r="D32" s="36">
        <v>16483273000000</v>
      </c>
      <c r="E32" s="36">
        <v>15814055000000</v>
      </c>
      <c r="F32" s="36">
        <v>0</v>
      </c>
      <c r="G32" s="36">
        <v>43071000000</v>
      </c>
      <c r="H32" s="37">
        <f t="shared" si="0"/>
        <v>43071000000</v>
      </c>
      <c r="I32" s="36">
        <v>11579007000000</v>
      </c>
      <c r="J32" s="4">
        <f>6819052000000+140151000000+293527000000+199716000000</f>
        <v>7452446000000</v>
      </c>
      <c r="K32" s="36">
        <f>3909411000000+1612000000</f>
        <v>3911023000000</v>
      </c>
      <c r="L32" s="39">
        <f t="shared" si="1"/>
        <v>626147000000</v>
      </c>
      <c r="M32" s="35">
        <f t="shared" si="2"/>
        <v>215538000000</v>
      </c>
      <c r="N32" s="19">
        <f t="shared" si="3"/>
        <v>410609000000</v>
      </c>
      <c r="O32" s="19"/>
    </row>
    <row r="33" spans="1:15" x14ac:dyDescent="0.35">
      <c r="A33" s="1">
        <v>32</v>
      </c>
      <c r="B33" s="1" t="s">
        <v>9</v>
      </c>
      <c r="C33" s="1">
        <v>2018</v>
      </c>
      <c r="D33" s="36">
        <v>19117305000000</v>
      </c>
      <c r="E33" s="36">
        <v>18234081000000</v>
      </c>
      <c r="F33" s="36">
        <v>0</v>
      </c>
      <c r="G33" s="36">
        <v>53430000000</v>
      </c>
      <c r="H33" s="37">
        <f t="shared" si="0"/>
        <v>53430000000</v>
      </c>
      <c r="I33" s="36">
        <v>12913509000000</v>
      </c>
      <c r="J33" s="4">
        <f>6899860000000+67063000000+287878000000+202498000000</f>
        <v>7457299000000</v>
      </c>
      <c r="K33" s="36">
        <f>5196220000000+1758000000</f>
        <v>5197978000000</v>
      </c>
      <c r="L33" s="39">
        <f t="shared" si="1"/>
        <v>829794000000</v>
      </c>
      <c r="M33" s="35">
        <f t="shared" si="2"/>
        <v>258232000000</v>
      </c>
      <c r="N33" s="19">
        <f t="shared" si="3"/>
        <v>571562000000</v>
      </c>
      <c r="O33" s="19">
        <f>N33-N32</f>
        <v>160953000000</v>
      </c>
    </row>
    <row r="34" spans="1:15" x14ac:dyDescent="0.35">
      <c r="A34" s="1">
        <v>33</v>
      </c>
      <c r="B34" s="1" t="s">
        <v>9</v>
      </c>
      <c r="C34" s="1">
        <v>2019</v>
      </c>
      <c r="D34" s="36">
        <v>19089633000000</v>
      </c>
      <c r="E34" s="36">
        <v>18211551000000</v>
      </c>
      <c r="F34" s="36">
        <v>0</v>
      </c>
      <c r="G34" s="36">
        <v>73133000000</v>
      </c>
      <c r="H34" s="37">
        <f t="shared" si="0"/>
        <v>73133000000</v>
      </c>
      <c r="I34" s="36">
        <v>13009453000000</v>
      </c>
      <c r="J34" s="4">
        <f>7730021000000+73271000000+796709000000+258337000000</f>
        <v>8858338000000</v>
      </c>
      <c r="K34" s="36">
        <f>3758283000000+2261000000</f>
        <v>3760544000000</v>
      </c>
      <c r="L34" s="39">
        <f t="shared" si="1"/>
        <v>804949000000</v>
      </c>
      <c r="M34" s="35">
        <f t="shared" si="2"/>
        <v>390571000000</v>
      </c>
      <c r="N34" s="19">
        <f t="shared" si="3"/>
        <v>414378000000</v>
      </c>
      <c r="O34" s="19">
        <f t="shared" ref="O34:O36" si="9">N34-N33</f>
        <v>-157184000000</v>
      </c>
    </row>
    <row r="35" spans="1:15" x14ac:dyDescent="0.35">
      <c r="A35" s="1">
        <v>34</v>
      </c>
      <c r="B35" s="1" t="s">
        <v>9</v>
      </c>
      <c r="C35" s="1">
        <v>2020</v>
      </c>
      <c r="D35" s="36">
        <v>15200531000000</v>
      </c>
      <c r="E35" s="36">
        <v>14248625000000</v>
      </c>
      <c r="F35" s="36">
        <v>0</v>
      </c>
      <c r="G35" s="36">
        <v>24412000000</v>
      </c>
      <c r="H35" s="37">
        <f t="shared" si="0"/>
        <v>24412000000</v>
      </c>
      <c r="I35" s="36">
        <v>8594377000000</v>
      </c>
      <c r="J35" s="4">
        <f>4794844000000+101719000000+194038000000+154211000000</f>
        <v>5244812000000</v>
      </c>
      <c r="K35" s="36">
        <f>2978631000000+1318000000</f>
        <v>2979949000000</v>
      </c>
      <c r="L35" s="39">
        <f t="shared" si="1"/>
        <v>927494000000</v>
      </c>
      <c r="M35" s="35">
        <f t="shared" si="2"/>
        <v>369616000000</v>
      </c>
      <c r="N35" s="19">
        <f t="shared" si="3"/>
        <v>557878000000</v>
      </c>
      <c r="O35" s="19">
        <f t="shared" si="9"/>
        <v>143500000000</v>
      </c>
    </row>
    <row r="36" spans="1:15" x14ac:dyDescent="0.35">
      <c r="A36" s="1">
        <v>35</v>
      </c>
      <c r="B36" s="1" t="s">
        <v>9</v>
      </c>
      <c r="C36" s="1">
        <v>2021</v>
      </c>
      <c r="D36" s="36">
        <v>15635739000000</v>
      </c>
      <c r="E36" s="36">
        <v>14733402000000</v>
      </c>
      <c r="F36" s="36">
        <v>0</v>
      </c>
      <c r="G36" s="36">
        <v>30847000000</v>
      </c>
      <c r="H36" s="37">
        <f t="shared" si="0"/>
        <v>30847000000</v>
      </c>
      <c r="I36" s="36">
        <v>8205513000000</v>
      </c>
      <c r="J36" s="4">
        <f>4789422000000+120131000000+338442000000+115457000000</f>
        <v>5363452000000</v>
      </c>
      <c r="K36" s="36">
        <f>2487483000000+1376000000</f>
        <v>2488859000000</v>
      </c>
      <c r="L36" s="39">
        <f t="shared" si="1"/>
        <v>871490000000</v>
      </c>
      <c r="M36" s="35">
        <f t="shared" si="2"/>
        <v>353202000000</v>
      </c>
      <c r="N36" s="19">
        <f t="shared" si="3"/>
        <v>518288000000</v>
      </c>
      <c r="O36" s="19">
        <f t="shared" si="9"/>
        <v>-39590000000</v>
      </c>
    </row>
    <row r="37" spans="1:15" x14ac:dyDescent="0.35">
      <c r="A37" s="1">
        <v>36</v>
      </c>
      <c r="B37" s="1" t="s">
        <v>10</v>
      </c>
      <c r="C37" s="1">
        <v>2017</v>
      </c>
      <c r="D37" s="36">
        <v>266305455000000</v>
      </c>
      <c r="E37" s="36">
        <v>221847408000000</v>
      </c>
      <c r="F37" s="36">
        <f>13442054000000+24971486000000+3659000000</f>
        <v>38417199000000</v>
      </c>
      <c r="G37" s="36">
        <f>1814214000000+1325541000000</f>
        <v>3139755000000</v>
      </c>
      <c r="H37" s="37">
        <f t="shared" si="0"/>
        <v>41556954000000</v>
      </c>
      <c r="I37" s="36">
        <v>229354449000000</v>
      </c>
      <c r="J37" s="4">
        <f>1946166000000+49281023000000+50214272000000+6884335000000+445502000000+2986666000000+1289985000000</f>
        <v>113047949000000</v>
      </c>
      <c r="K37" s="36">
        <f>89821901000000+9478703000000+5403613000000+5809723000000+1596772000000</f>
        <v>112110712000000</v>
      </c>
      <c r="L37" s="39">
        <f t="shared" si="1"/>
        <v>2901093000000</v>
      </c>
      <c r="M37" s="35">
        <f t="shared" si="2"/>
        <v>4195788000000</v>
      </c>
      <c r="N37" s="19">
        <f t="shared" si="3"/>
        <v>-1294695000000</v>
      </c>
      <c r="O37" s="19"/>
    </row>
    <row r="38" spans="1:15" x14ac:dyDescent="0.35">
      <c r="A38" s="1">
        <v>37</v>
      </c>
      <c r="B38" s="1" t="s">
        <v>10</v>
      </c>
      <c r="C38" s="1">
        <v>2018</v>
      </c>
      <c r="D38" s="36">
        <v>266781498000000</v>
      </c>
      <c r="E38" s="36">
        <v>214889787000000</v>
      </c>
      <c r="F38" s="36">
        <f>10676225000000+23999772000000+593593000000+3659000000</f>
        <v>35273249000000</v>
      </c>
      <c r="G38" s="36">
        <f>1892270000000+1294384000000</f>
        <v>3186654000000</v>
      </c>
      <c r="H38" s="37">
        <f t="shared" si="0"/>
        <v>38459903000000</v>
      </c>
      <c r="I38" s="36">
        <v>227200919000000</v>
      </c>
      <c r="J38" s="4">
        <f>2240191000000+45857151000000+54495883000000+2928693000000+461141000000+3594738000000+930196000000</f>
        <v>110507993000000</v>
      </c>
      <c r="K38" s="36">
        <f>90397184000000+11940900000000+5269757000000+2195916000000+1742417000000</f>
        <v>111546174000000</v>
      </c>
      <c r="L38" s="39">
        <f t="shared" si="1"/>
        <v>13431808000000</v>
      </c>
      <c r="M38" s="35">
        <f t="shared" si="2"/>
        <v>5146752000000</v>
      </c>
      <c r="N38" s="19">
        <f t="shared" si="3"/>
        <v>8285056000000</v>
      </c>
      <c r="O38" s="19">
        <f>N38-N37</f>
        <v>9579751000000</v>
      </c>
    </row>
    <row r="39" spans="1:15" x14ac:dyDescent="0.35">
      <c r="A39" s="1">
        <v>38</v>
      </c>
      <c r="B39" s="1" t="s">
        <v>10</v>
      </c>
      <c r="C39" s="1">
        <v>2019</v>
      </c>
      <c r="D39" s="36">
        <v>274467227000000</v>
      </c>
      <c r="E39" s="36">
        <v>224000336000000</v>
      </c>
      <c r="F39" s="36">
        <f>11962665000000+22160303000000+522857000000+3659000000</f>
        <v>34649484000000</v>
      </c>
      <c r="G39" s="36">
        <f>1644089000000+1373464000000</f>
        <v>3017553000000</v>
      </c>
      <c r="H39" s="37">
        <f t="shared" si="0"/>
        <v>37667037000000</v>
      </c>
      <c r="I39" s="36">
        <v>231173061000000</v>
      </c>
      <c r="J39" s="4">
        <f>1781962000000+48943913000000+59316069000000+1364586000000+498541000000+4038684000000+1131727000000</f>
        <v>117075482000000</v>
      </c>
      <c r="K39" s="36">
        <f>87340318000000+10470737000000+7503112000000+2647013000000+1821175000000</f>
        <v>109782355000000</v>
      </c>
      <c r="L39" s="39">
        <f t="shared" si="1"/>
        <v>12799854000000</v>
      </c>
      <c r="M39" s="35">
        <f t="shared" si="2"/>
        <v>4315224000000</v>
      </c>
      <c r="N39" s="19">
        <f t="shared" si="3"/>
        <v>8484630000000</v>
      </c>
      <c r="O39" s="19">
        <f t="shared" ref="O39:O41" si="10">N39-N38</f>
        <v>199574000000</v>
      </c>
    </row>
    <row r="40" spans="1:15" x14ac:dyDescent="0.35">
      <c r="A40" s="1">
        <v>39</v>
      </c>
      <c r="B40" s="1" t="s">
        <v>10</v>
      </c>
      <c r="C40" s="1">
        <v>2020</v>
      </c>
      <c r="D40" s="36">
        <v>280943605000000</v>
      </c>
      <c r="E40" s="36">
        <v>194242397000000</v>
      </c>
      <c r="F40" s="36">
        <f>9310186000000+55828799000000+2305523000000+3659000000</f>
        <v>67448167000000</v>
      </c>
      <c r="G40" s="36">
        <f>1930704000000+1024632000000</f>
        <v>2955336000000</v>
      </c>
      <c r="H40" s="37">
        <f t="shared" si="0"/>
        <v>70403503000000</v>
      </c>
      <c r="I40" s="36">
        <v>239890554000000</v>
      </c>
      <c r="J40" s="4">
        <f>3636684000000+55862547000000+67861369000000+2901556000000+301192000000+5151393000000+1098334000000</f>
        <v>136813075000000</v>
      </c>
      <c r="K40" s="36">
        <f>83805508000000+8656643000000+6565604000000+933433000000+224184000000</f>
        <v>100185372000000</v>
      </c>
      <c r="L40" s="39">
        <f t="shared" si="1"/>
        <v>16297705000000</v>
      </c>
      <c r="M40" s="35">
        <f t="shared" si="2"/>
        <v>2892107000000</v>
      </c>
      <c r="N40" s="19">
        <f t="shared" si="3"/>
        <v>13405598000000</v>
      </c>
      <c r="O40" s="19">
        <f t="shared" si="10"/>
        <v>4920968000000</v>
      </c>
    </row>
    <row r="41" spans="1:15" x14ac:dyDescent="0.35">
      <c r="A41" s="1">
        <v>40</v>
      </c>
      <c r="B41" s="1" t="s">
        <v>10</v>
      </c>
      <c r="C41" s="1">
        <v>2021</v>
      </c>
      <c r="D41" s="36">
        <v>310786960000000</v>
      </c>
      <c r="E41" s="36">
        <v>218958935000000</v>
      </c>
      <c r="F41" s="36">
        <f>10175922000000+60520764000000+3659000000+1589656000000</f>
        <v>72290001000000</v>
      </c>
      <c r="G41" s="36">
        <f>1461282000000+1138706000000</f>
        <v>2599988000000</v>
      </c>
      <c r="H41" s="37">
        <f t="shared" si="0"/>
        <v>74889989000000</v>
      </c>
      <c r="I41" s="36">
        <v>267398602000000</v>
      </c>
      <c r="J41" s="4">
        <f>3239391000000+75477306000000+72565133000000+3059451000000+584187000000+6082833000000+1355055000000</f>
        <v>162363356000000</v>
      </c>
      <c r="K41" s="36">
        <f>93306071000000+1262232000000+5369228000000+1973306000000+226143000000</f>
        <v>102136980000000</v>
      </c>
      <c r="L41" s="39">
        <f t="shared" si="1"/>
        <v>16938036000000</v>
      </c>
      <c r="M41" s="35">
        <f t="shared" si="2"/>
        <v>2898266000000</v>
      </c>
      <c r="N41" s="19">
        <f t="shared" si="3"/>
        <v>14039770000000</v>
      </c>
      <c r="O41" s="19">
        <f t="shared" si="10"/>
        <v>634172000000</v>
      </c>
    </row>
    <row r="42" spans="1:15" x14ac:dyDescent="0.35">
      <c r="A42" s="1">
        <v>41</v>
      </c>
      <c r="B42" s="1" t="s">
        <v>11</v>
      </c>
      <c r="C42" s="1">
        <v>2017</v>
      </c>
      <c r="D42" s="36">
        <v>173253491000000</v>
      </c>
      <c r="E42" s="36">
        <v>142245644000000</v>
      </c>
      <c r="F42" s="36">
        <f>3700535000000+18203948000000+1603591000000</f>
        <v>23508074000000</v>
      </c>
      <c r="G42" s="36">
        <f>51368000000+38434000000+12341000000</f>
        <v>102143000000</v>
      </c>
      <c r="H42" s="37">
        <f t="shared" si="0"/>
        <v>23610217000000</v>
      </c>
      <c r="I42" s="36">
        <v>152478451000000</v>
      </c>
      <c r="J42" s="4">
        <f>1176239000000+121291560000000+3861373000000+198800000000+3781938000000</f>
        <v>130309910000000</v>
      </c>
      <c r="K42" s="36">
        <f>595088000000+9426084000000+5054291000000+5290905000000</f>
        <v>20366368000000</v>
      </c>
      <c r="L42" s="39">
        <f t="shared" si="1"/>
        <v>7397630000000</v>
      </c>
      <c r="M42" s="35">
        <f t="shared" si="2"/>
        <v>1802173000000</v>
      </c>
      <c r="N42" s="19">
        <f t="shared" si="3"/>
        <v>5595457000000</v>
      </c>
      <c r="O42" s="19"/>
    </row>
    <row r="43" spans="1:15" x14ac:dyDescent="0.35">
      <c r="A43" s="1">
        <v>42</v>
      </c>
      <c r="B43" s="1" t="s">
        <v>11</v>
      </c>
      <c r="C43" s="1">
        <v>2018</v>
      </c>
      <c r="D43" s="36">
        <v>177532858000000</v>
      </c>
      <c r="E43" s="36">
        <v>152861374000000</v>
      </c>
      <c r="F43" s="36">
        <f>188033000000+16539984000000+44457000000</f>
        <v>16772474000000</v>
      </c>
      <c r="G43" s="36">
        <f>88616000000+68328000000+17634000000</f>
        <v>174578000000</v>
      </c>
      <c r="H43" s="37">
        <f t="shared" si="0"/>
        <v>16947052000000</v>
      </c>
      <c r="I43" s="36">
        <v>152442167000000</v>
      </c>
      <c r="J43" s="4">
        <f>859282000000+116812388000000+4217922000000+168883000000+3870431000000</f>
        <v>125928906000000</v>
      </c>
      <c r="K43" s="36">
        <f>9805245000000+10558656000000+3293966000000</f>
        <v>23657867000000</v>
      </c>
      <c r="L43" s="39">
        <f t="shared" si="1"/>
        <v>7724432000000</v>
      </c>
      <c r="M43" s="35">
        <f t="shared" si="2"/>
        <v>2855394000000</v>
      </c>
      <c r="N43" s="19">
        <f t="shared" si="3"/>
        <v>4869038000000</v>
      </c>
      <c r="O43" s="19">
        <f>N43-N42</f>
        <v>-726419000000</v>
      </c>
    </row>
    <row r="44" spans="1:15" x14ac:dyDescent="0.35">
      <c r="A44" s="1">
        <v>43</v>
      </c>
      <c r="B44" s="1" t="s">
        <v>11</v>
      </c>
      <c r="C44" s="1">
        <v>2019</v>
      </c>
      <c r="D44" s="36">
        <v>169082830000000</v>
      </c>
      <c r="E44" s="36">
        <v>140755959000000</v>
      </c>
      <c r="F44" s="36">
        <f>1599041000000+16509217000000+2454895000000</f>
        <v>20563153000000</v>
      </c>
      <c r="G44" s="36">
        <f>62406000000+67546000000+10147000000</f>
        <v>140099000000</v>
      </c>
      <c r="H44" s="37">
        <f t="shared" si="0"/>
        <v>20703252000000</v>
      </c>
      <c r="I44" s="36">
        <v>142397914000000</v>
      </c>
      <c r="J44" s="4">
        <f>949936000000+110601006000000+3134059000000+193017000000+3283357000000</f>
        <v>118161375000000</v>
      </c>
      <c r="K44" s="36">
        <f>725580000000+9605315000000+9189435000000+2296054000000</f>
        <v>21816384000000</v>
      </c>
      <c r="L44" s="39">
        <f t="shared" si="1"/>
        <v>7623619000000</v>
      </c>
      <c r="M44" s="35">
        <f t="shared" si="2"/>
        <v>2420155000000</v>
      </c>
      <c r="N44" s="19">
        <f t="shared" si="3"/>
        <v>5203464000000</v>
      </c>
      <c r="O44" s="19">
        <f t="shared" ref="O44:O46" si="11">N44-N43</f>
        <v>334426000000</v>
      </c>
    </row>
    <row r="45" spans="1:15" x14ac:dyDescent="0.35">
      <c r="A45" s="1">
        <v>44</v>
      </c>
      <c r="B45" s="1" t="s">
        <v>11</v>
      </c>
      <c r="C45" s="1">
        <v>2020</v>
      </c>
      <c r="D45" s="36">
        <v>173224412000000</v>
      </c>
      <c r="E45" s="36">
        <v>129038323000000</v>
      </c>
      <c r="F45" s="36">
        <f>1134802000000+24266764000000+10766459000000</f>
        <v>36168025000000</v>
      </c>
      <c r="G45" s="36">
        <f>95657000000+64437000000</f>
        <v>160094000000</v>
      </c>
      <c r="H45" s="37">
        <f t="shared" si="0"/>
        <v>36328119000000</v>
      </c>
      <c r="I45" s="36">
        <v>146000782000000</v>
      </c>
      <c r="J45" s="4">
        <f>1172326000000+115003047000000+8236126000000+221494000000+3840214000000</f>
        <v>128473207000000</v>
      </c>
      <c r="K45" s="36">
        <f>608383000000+6393160000000+6041622000000+2297856000000</f>
        <v>15341021000000</v>
      </c>
      <c r="L45" s="39">
        <f t="shared" si="1"/>
        <v>7857970000000</v>
      </c>
      <c r="M45" s="35">
        <f t="shared" si="2"/>
        <v>2186554000000</v>
      </c>
      <c r="N45" s="19">
        <f t="shared" si="3"/>
        <v>5671416000000</v>
      </c>
      <c r="O45" s="19">
        <f t="shared" si="11"/>
        <v>467952000000</v>
      </c>
    </row>
    <row r="46" spans="1:15" x14ac:dyDescent="0.35">
      <c r="A46" s="1">
        <v>45</v>
      </c>
      <c r="B46" s="1" t="s">
        <v>11</v>
      </c>
      <c r="C46" s="1">
        <v>2021</v>
      </c>
      <c r="D46" s="36">
        <v>168758476000000</v>
      </c>
      <c r="E46" s="36">
        <v>124990261000000</v>
      </c>
      <c r="F46" s="36">
        <f>1897444000000+29269256000000+3538336000000</f>
        <v>34705036000000</v>
      </c>
      <c r="G46" s="36">
        <f>75690000000+59602000000</f>
        <v>135292000000</v>
      </c>
      <c r="H46" s="37">
        <f t="shared" si="0"/>
        <v>34840328000000</v>
      </c>
      <c r="I46" s="36">
        <v>140033353000000</v>
      </c>
      <c r="J46" s="4">
        <f>809999000000+114898775000000+5162363000000+222417000000+3642641000000</f>
        <v>124736195000000</v>
      </c>
      <c r="K46" s="36">
        <f>274049000000+5305250000000+6917309000000+799174000000</f>
        <v>13295782000000</v>
      </c>
      <c r="L46" s="39">
        <f t="shared" si="1"/>
        <v>8927887000000</v>
      </c>
      <c r="M46" s="35">
        <f t="shared" si="2"/>
        <v>2001376000000</v>
      </c>
      <c r="N46" s="19">
        <f t="shared" si="3"/>
        <v>6926511000000</v>
      </c>
      <c r="O46" s="19">
        <f t="shared" si="11"/>
        <v>1255095000000</v>
      </c>
    </row>
    <row r="47" spans="1:15" x14ac:dyDescent="0.35">
      <c r="A47" s="1">
        <v>46</v>
      </c>
      <c r="B47" s="1" t="s">
        <v>12</v>
      </c>
      <c r="C47" s="1">
        <v>2017</v>
      </c>
      <c r="D47" s="36">
        <v>148328370000000</v>
      </c>
      <c r="E47" s="36">
        <v>112708769000000</v>
      </c>
      <c r="F47" s="36">
        <f>22802021000000+18887000000+976045000000</f>
        <v>23796953000000</v>
      </c>
      <c r="G47" s="36">
        <f>440287000000+205260000000</f>
        <v>645547000000</v>
      </c>
      <c r="H47" s="37">
        <f t="shared" si="0"/>
        <v>24442500000000</v>
      </c>
      <c r="I47" s="36">
        <v>126817628000000</v>
      </c>
      <c r="J47" s="4">
        <f>384169000000+23481197000000+6553603000000+27393067000000+429648000000+2552273000000+145270000000+11338000000+610000000+1032000000+1184496000000+138159000000</f>
        <v>62274862000000</v>
      </c>
      <c r="K47" s="36">
        <f>36017000000+5346400000000+1185243000000+47539650000000+5890842000000</f>
        <v>59998152000000</v>
      </c>
      <c r="L47" s="39">
        <f t="shared" si="1"/>
        <v>11177101000000</v>
      </c>
      <c r="M47" s="35">
        <f t="shared" si="2"/>
        <v>4544614000000</v>
      </c>
      <c r="N47" s="19">
        <f t="shared" si="3"/>
        <v>6632487000000</v>
      </c>
      <c r="O47" s="19"/>
    </row>
    <row r="48" spans="1:15" x14ac:dyDescent="0.35">
      <c r="A48" s="1">
        <v>47</v>
      </c>
      <c r="B48" s="1" t="s">
        <v>12</v>
      </c>
      <c r="C48" s="1">
        <v>2018</v>
      </c>
      <c r="D48" s="36">
        <v>152892866000000</v>
      </c>
      <c r="E48" s="36">
        <v>128117544000000</v>
      </c>
      <c r="F48" s="36">
        <f>14989712000000</f>
        <v>14989712000000</v>
      </c>
      <c r="G48" s="36">
        <f>736804000000+206350000000</f>
        <v>943154000000</v>
      </c>
      <c r="H48" s="37">
        <f t="shared" si="0"/>
        <v>15932866000000</v>
      </c>
      <c r="I48" s="36">
        <v>130440930000000</v>
      </c>
      <c r="J48" s="4">
        <f>130440930000000-1068985000000-3715302000000-59465000000--621315000000-17740000000-2747942000000-54219868000000-7026154000000</f>
        <v>62206789000000</v>
      </c>
      <c r="K48" s="36">
        <f>54219868000000+7026154000000+16971000000+3715302000000+1068985000000</f>
        <v>66047280000000</v>
      </c>
      <c r="L48" s="39">
        <f t="shared" si="1"/>
        <v>8842456000000</v>
      </c>
      <c r="M48" s="35">
        <f t="shared" si="2"/>
        <v>2186861000000</v>
      </c>
      <c r="N48" s="19">
        <f t="shared" si="3"/>
        <v>6655595000000</v>
      </c>
      <c r="O48" s="19">
        <f>N48-N47</f>
        <v>23108000000</v>
      </c>
    </row>
    <row r="49" spans="1:15" x14ac:dyDescent="0.35">
      <c r="A49" s="1">
        <v>48</v>
      </c>
      <c r="B49" s="1" t="s">
        <v>12</v>
      </c>
      <c r="C49" s="1">
        <v>2019</v>
      </c>
      <c r="D49" s="36">
        <v>161451259000000</v>
      </c>
      <c r="E49" s="36">
        <v>134263488000000</v>
      </c>
      <c r="F49" s="36">
        <f>16229868000000+1534574000000</f>
        <v>17764442000000</v>
      </c>
      <c r="G49" s="36">
        <f>1241571000000+170723000000</f>
        <v>1412294000000</v>
      </c>
      <c r="H49" s="37">
        <f t="shared" si="0"/>
        <v>19176736000000</v>
      </c>
      <c r="I49" s="36">
        <v>137413908000000</v>
      </c>
      <c r="J49" s="4">
        <f>137413908000000-992138000000-1286680000000-56017000000--562970000000-1695446000000-19872000000-55010089000000-5890381000000-12881000000</f>
        <v>73013374000000</v>
      </c>
      <c r="K49" s="36">
        <f>55010089000000+5890381000000+12881000000+1286680000000+992138000000</f>
        <v>63192169000000</v>
      </c>
      <c r="L49" s="39">
        <f t="shared" si="1"/>
        <v>8011035000000</v>
      </c>
      <c r="M49" s="11">
        <f t="shared" si="2"/>
        <v>1208365000000</v>
      </c>
      <c r="N49" s="19">
        <f t="shared" si="3"/>
        <v>6802670000000</v>
      </c>
      <c r="O49" s="19">
        <f t="shared" ref="O49:O51" si="12">N49-N48</f>
        <v>147075000000</v>
      </c>
    </row>
    <row r="50" spans="1:15" x14ac:dyDescent="0.35">
      <c r="A50" s="1">
        <v>49</v>
      </c>
      <c r="B50" s="1" t="s">
        <v>12</v>
      </c>
      <c r="C50" s="1">
        <v>2020</v>
      </c>
      <c r="D50" s="36">
        <v>197726097000000</v>
      </c>
      <c r="E50" s="36">
        <v>142626559000000</v>
      </c>
      <c r="F50" s="36">
        <f>23256980000000+22272459000000</f>
        <v>45529439000000</v>
      </c>
      <c r="G50" s="36">
        <f>1002530000000+197868000000</f>
        <v>1200398000000</v>
      </c>
      <c r="H50" s="37">
        <f t="shared" si="0"/>
        <v>46729837000000</v>
      </c>
      <c r="I50" s="36">
        <v>162654644000000</v>
      </c>
      <c r="J50" s="4">
        <f>162654644000000-9106068000000-105197000000-609738000000-67667000000-1141112000000-8000000-1460535000000-71191551000000-63166000000</f>
        <v>78909602000000</v>
      </c>
      <c r="K50" s="36">
        <f>71191551000000+63166000000+8000000+609738000000+105197000000+9106068000000</f>
        <v>81075728000000</v>
      </c>
      <c r="L50" s="39">
        <f t="shared" si="1"/>
        <v>8369701000000</v>
      </c>
      <c r="M50" s="35">
        <f t="shared" si="2"/>
        <v>2669314000000</v>
      </c>
      <c r="N50" s="19">
        <f t="shared" si="3"/>
        <v>5700387000000</v>
      </c>
      <c r="O50" s="19">
        <f t="shared" si="12"/>
        <v>-1102283000000</v>
      </c>
    </row>
    <row r="51" spans="1:15" x14ac:dyDescent="0.35">
      <c r="A51" s="1">
        <v>50</v>
      </c>
      <c r="B51" s="1" t="s">
        <v>12</v>
      </c>
      <c r="C51" s="1">
        <v>2021</v>
      </c>
      <c r="D51" s="36">
        <v>234379042000000</v>
      </c>
      <c r="E51" s="36">
        <v>167969662000000</v>
      </c>
      <c r="F51" s="36">
        <f>138001000000+40964611000000+14245191000000</f>
        <v>55347803000000</v>
      </c>
      <c r="G51" s="36">
        <f>312857000000+77612000000</f>
        <v>390469000000</v>
      </c>
      <c r="H51" s="37">
        <f t="shared" si="0"/>
        <v>55738272000000</v>
      </c>
      <c r="I51" s="36">
        <v>197765327000000</v>
      </c>
      <c r="J51" s="4">
        <f>197765327000000-9329879000000-67200000000-756454000000-1350000000-2011886000000-82778671000000-57224000000</f>
        <v>102762663000000</v>
      </c>
      <c r="K51" s="36">
        <f>82778671000000+57224000000+1350000000+9329879000000</f>
        <v>92167124000000</v>
      </c>
      <c r="L51" s="39">
        <f t="shared" si="1"/>
        <v>10671108000000</v>
      </c>
      <c r="M51" s="35">
        <f t="shared" si="2"/>
        <v>2835540000000</v>
      </c>
      <c r="N51" s="19">
        <f t="shared" si="3"/>
        <v>7835568000000</v>
      </c>
      <c r="O51" s="19">
        <f t="shared" si="12"/>
        <v>2135181000000</v>
      </c>
    </row>
    <row r="52" spans="1:15" x14ac:dyDescent="0.35">
      <c r="A52" s="1">
        <v>51</v>
      </c>
      <c r="B52" s="1" t="s">
        <v>13</v>
      </c>
      <c r="C52" s="1">
        <v>2017</v>
      </c>
      <c r="D52" s="36">
        <v>29492933000000</v>
      </c>
      <c r="E52" s="36">
        <v>28461735000000</v>
      </c>
      <c r="F52" s="36">
        <f>650000000</f>
        <v>650000000</v>
      </c>
      <c r="G52" s="36">
        <v>43447000000</v>
      </c>
      <c r="H52" s="37">
        <f t="shared" si="0"/>
        <v>44097000000</v>
      </c>
      <c r="I52" s="36">
        <v>23747518000000</v>
      </c>
      <c r="J52" s="4">
        <f>6697104000000+3847182000000+657757000000+72968000000+30178000000+967689000000</f>
        <v>12272878000000</v>
      </c>
      <c r="K52" s="36">
        <f>9296065000000+465100000000+661000000000+40000000000</f>
        <v>10462165000000</v>
      </c>
      <c r="L52" s="39">
        <f t="shared" si="1"/>
        <v>987101000000</v>
      </c>
      <c r="M52" s="35">
        <f t="shared" si="2"/>
        <v>1012475000000</v>
      </c>
      <c r="N52" s="19">
        <f t="shared" si="3"/>
        <v>-25374000000</v>
      </c>
      <c r="O52" s="19"/>
    </row>
    <row r="53" spans="1:15" x14ac:dyDescent="0.35">
      <c r="A53" s="1">
        <v>52</v>
      </c>
      <c r="B53" s="1" t="s">
        <v>13</v>
      </c>
      <c r="C53" s="1">
        <v>2018</v>
      </c>
      <c r="D53" s="36">
        <v>31496441000000</v>
      </c>
      <c r="E53" s="36">
        <v>29757520000000</v>
      </c>
      <c r="F53" s="36">
        <f>650000000</f>
        <v>650000000</v>
      </c>
      <c r="G53" s="36">
        <v>68363000000</v>
      </c>
      <c r="H53" s="37">
        <f t="shared" si="0"/>
        <v>69013000000</v>
      </c>
      <c r="I53" s="36">
        <v>24468242000000</v>
      </c>
      <c r="J53" s="4">
        <f>11778092000000+793217000000+35451000000+30174000000+864883000000</f>
        <v>13501817000000</v>
      </c>
      <c r="K53" s="36">
        <f>8818907000000+603000000000+728000000000+40000000000</f>
        <v>10189907000000</v>
      </c>
      <c r="L53" s="39">
        <f t="shared" si="1"/>
        <v>1669908000000</v>
      </c>
      <c r="M53" s="35">
        <f t="shared" si="2"/>
        <v>776518000000</v>
      </c>
      <c r="N53" s="19">
        <f t="shared" si="3"/>
        <v>893390000000</v>
      </c>
      <c r="O53" s="19">
        <f>N53-N52</f>
        <v>918764000000</v>
      </c>
    </row>
    <row r="54" spans="1:15" x14ac:dyDescent="0.35">
      <c r="A54" s="1">
        <v>53</v>
      </c>
      <c r="B54" s="1" t="s">
        <v>13</v>
      </c>
      <c r="C54" s="1">
        <v>2019</v>
      </c>
      <c r="D54" s="36">
        <v>35116853000000</v>
      </c>
      <c r="E54" s="36">
        <v>33504454000000</v>
      </c>
      <c r="F54" s="36">
        <f>650000000</f>
        <v>650000000</v>
      </c>
      <c r="G54" s="36">
        <v>33746000000</v>
      </c>
      <c r="H54" s="37">
        <f t="shared" si="0"/>
        <v>34396000000</v>
      </c>
      <c r="I54" s="36">
        <v>27038058000000</v>
      </c>
      <c r="J54" s="4">
        <f>10350058000000+1500000000000+973379000000+38616000000+364455000000+1058152000000</f>
        <v>14284660000000</v>
      </c>
      <c r="K54" s="36">
        <f>9825860000000+572800000000+597000000000+40000000000</f>
        <v>11035660000000</v>
      </c>
      <c r="L54" s="39">
        <f t="shared" si="1"/>
        <v>1578003000000</v>
      </c>
      <c r="M54" s="35">
        <f t="shared" si="2"/>
        <v>1717738000000</v>
      </c>
      <c r="N54" s="19">
        <f t="shared" si="3"/>
        <v>-139735000000</v>
      </c>
      <c r="O54" s="19">
        <f t="shared" ref="O54:O56" si="13">N54-N53</f>
        <v>-1033125000000</v>
      </c>
    </row>
    <row r="55" spans="1:15" x14ac:dyDescent="0.35">
      <c r="A55" s="1">
        <v>54</v>
      </c>
      <c r="B55" s="1" t="s">
        <v>13</v>
      </c>
      <c r="C55" s="1">
        <v>2020</v>
      </c>
      <c r="D55" s="36">
        <v>29230513000000</v>
      </c>
      <c r="E55" s="36">
        <v>27477745000000</v>
      </c>
      <c r="F55" s="36">
        <v>650000000</v>
      </c>
      <c r="G55" s="36">
        <v>3584000000</v>
      </c>
      <c r="H55" s="37">
        <f t="shared" si="0"/>
        <v>4234000000</v>
      </c>
      <c r="I55" s="36">
        <v>21305238000000</v>
      </c>
      <c r="J55" s="4">
        <f>8952441000000+187500000000+1012886000000+38330000000+185896000000+946096000000</f>
        <v>11323149000000</v>
      </c>
      <c r="K55" s="36">
        <f>6824636000000+323690000000+478000000000</f>
        <v>7626326000000</v>
      </c>
      <c r="L55" s="19">
        <f t="shared" si="1"/>
        <v>1748534000000</v>
      </c>
      <c r="M55" s="35">
        <f t="shared" si="2"/>
        <v>2355763000000</v>
      </c>
      <c r="N55" s="19">
        <f>L55-M55</f>
        <v>-607229000000</v>
      </c>
      <c r="O55" s="19">
        <f t="shared" si="13"/>
        <v>-467494000000</v>
      </c>
    </row>
    <row r="56" spans="1:15" x14ac:dyDescent="0.35">
      <c r="A56" s="1">
        <v>55</v>
      </c>
      <c r="B56" s="1" t="s">
        <v>13</v>
      </c>
      <c r="C56" s="1">
        <v>2021</v>
      </c>
      <c r="D56" s="36">
        <v>23725885000000</v>
      </c>
      <c r="E56" s="36">
        <v>21356445000000</v>
      </c>
      <c r="F56" s="36">
        <v>650000000</v>
      </c>
      <c r="G56" s="36">
        <v>762000000</v>
      </c>
      <c r="H56" s="37">
        <f t="shared" si="0"/>
        <v>1412000000</v>
      </c>
      <c r="I56" s="36">
        <v>14838879000000</v>
      </c>
      <c r="J56" s="4">
        <f>3608879000000+1345834000000+1034561000000+40461000000+173686000000+953468000000</f>
        <v>7156889000000</v>
      </c>
      <c r="K56" s="36">
        <f>5417918000000+155350000000+402000000000</f>
        <v>5975268000000</v>
      </c>
      <c r="L56" s="39">
        <f t="shared" si="1"/>
        <v>2368028000000</v>
      </c>
      <c r="M56" s="35">
        <f t="shared" si="2"/>
        <v>1706722000000</v>
      </c>
      <c r="N56" s="19">
        <f t="shared" si="3"/>
        <v>661306000000</v>
      </c>
      <c r="O56" s="19">
        <f t="shared" si="13"/>
        <v>1268535000000</v>
      </c>
    </row>
    <row r="57" spans="1:15" x14ac:dyDescent="0.35">
      <c r="A57" s="1">
        <v>56</v>
      </c>
      <c r="B57" s="1" t="s">
        <v>14</v>
      </c>
      <c r="C57" s="1">
        <v>2017</v>
      </c>
      <c r="D57" s="36">
        <v>28825608648000</v>
      </c>
      <c r="E57" s="36">
        <v>19725075731000</v>
      </c>
      <c r="F57" s="36">
        <f>7897783120000</f>
        <v>7897783120000</v>
      </c>
      <c r="G57" s="36">
        <v>1797400000</v>
      </c>
      <c r="H57" s="37">
        <f t="shared" si="0"/>
        <v>7899580520000</v>
      </c>
      <c r="I57" s="36">
        <v>24483975280000</v>
      </c>
      <c r="J57" s="4">
        <f>4494773000+20774972177000+2236882484000+41968503000+76384504000</f>
        <v>23134702441000</v>
      </c>
      <c r="K57" s="36">
        <f>1140423161000</f>
        <v>1140423161000</v>
      </c>
      <c r="L57" s="39">
        <f t="shared" si="1"/>
        <v>1200952397000</v>
      </c>
      <c r="M57" s="35">
        <f t="shared" si="2"/>
        <v>208849678000</v>
      </c>
      <c r="N57" s="19">
        <f t="shared" si="3"/>
        <v>992102719000</v>
      </c>
      <c r="O57" s="19"/>
    </row>
    <row r="58" spans="1:15" x14ac:dyDescent="0.35">
      <c r="A58" s="1">
        <v>57</v>
      </c>
      <c r="B58" s="1" t="s">
        <v>14</v>
      </c>
      <c r="C58" s="1">
        <v>2018</v>
      </c>
      <c r="D58" s="36">
        <v>30172315337000</v>
      </c>
      <c r="E58" s="36">
        <v>19797069229000</v>
      </c>
      <c r="F58" s="36">
        <f>6724520646000+1000011192000</f>
        <v>7724531838000</v>
      </c>
      <c r="G58" s="36">
        <v>0</v>
      </c>
      <c r="H58" s="37">
        <f t="shared" si="0"/>
        <v>7724531838000</v>
      </c>
      <c r="I58" s="36">
        <v>25808570240000</v>
      </c>
      <c r="J58" s="4">
        <f>4393198000+20636380394000+1835799330000+65331129000+73621459000</f>
        <v>22615525510000</v>
      </c>
      <c r="K58" s="36">
        <f>1302663597000+1585722555000</f>
        <v>2888386152000</v>
      </c>
      <c r="L58" s="39">
        <f t="shared" si="1"/>
        <v>2650714270000</v>
      </c>
      <c r="M58" s="35">
        <f t="shared" si="2"/>
        <v>304658578000</v>
      </c>
      <c r="N58" s="19">
        <f t="shared" si="3"/>
        <v>2346055692000</v>
      </c>
      <c r="O58" s="19">
        <f>N58-N57</f>
        <v>1353952973000</v>
      </c>
    </row>
    <row r="59" spans="1:15" x14ac:dyDescent="0.35">
      <c r="A59" s="1">
        <v>58</v>
      </c>
      <c r="B59" s="1" t="s">
        <v>14</v>
      </c>
      <c r="C59" s="1">
        <v>2019</v>
      </c>
      <c r="D59" s="36">
        <v>30456458802000</v>
      </c>
      <c r="E59" s="36">
        <v>19404658911000</v>
      </c>
      <c r="F59" s="36">
        <f>7900239715000+1000005891</f>
        <v>7901239720891</v>
      </c>
      <c r="G59" s="36">
        <v>10334090000</v>
      </c>
      <c r="H59" s="37">
        <f t="shared" si="0"/>
        <v>7911573810891</v>
      </c>
      <c r="I59" s="36">
        <v>25782313852000</v>
      </c>
      <c r="J59" s="4">
        <f>2077421000+21791637063000+909309808000+29976241000+65755469000</f>
        <v>22798756002000</v>
      </c>
      <c r="K59" s="36">
        <f>1000000721000+1780135010000</f>
        <v>2780135731000</v>
      </c>
      <c r="L59" s="39">
        <f t="shared" si="1"/>
        <v>3140226080109</v>
      </c>
      <c r="M59" s="35">
        <f t="shared" si="2"/>
        <v>203422119000</v>
      </c>
      <c r="N59" s="19">
        <f t="shared" si="3"/>
        <v>2936803961109</v>
      </c>
      <c r="O59" s="19">
        <f t="shared" ref="O59:O61" si="14">N59-N58</f>
        <v>590748269109</v>
      </c>
    </row>
    <row r="60" spans="1:15" x14ac:dyDescent="0.35">
      <c r="A60" s="1">
        <v>59</v>
      </c>
      <c r="B60" s="1" t="s">
        <v>14</v>
      </c>
      <c r="C60" s="1">
        <v>2020</v>
      </c>
      <c r="D60" s="36">
        <v>26221407472000</v>
      </c>
      <c r="E60" s="36">
        <v>16797468234000</v>
      </c>
      <c r="F60" s="36">
        <f>6406670842000+447804800000</f>
        <v>6854475642000</v>
      </c>
      <c r="G60" s="36">
        <v>11557440000</v>
      </c>
      <c r="H60" s="37">
        <f t="shared" si="0"/>
        <v>6866033082000</v>
      </c>
      <c r="I60" s="36">
        <v>22197849857000</v>
      </c>
      <c r="J60" s="4">
        <f>22197849857000-1544029002000-179217199000</f>
        <v>20474603656000</v>
      </c>
      <c r="K60" s="36">
        <v>1544029002000</v>
      </c>
      <c r="L60" s="39">
        <f t="shared" si="1"/>
        <v>2557906156000</v>
      </c>
      <c r="M60" s="11">
        <f>I60-J60-K60</f>
        <v>179217199000</v>
      </c>
      <c r="N60" s="19">
        <f t="shared" si="3"/>
        <v>2378688957000</v>
      </c>
      <c r="O60" s="19">
        <f t="shared" si="14"/>
        <v>-558115004109</v>
      </c>
    </row>
    <row r="61" spans="1:15" x14ac:dyDescent="0.35">
      <c r="A61" s="1">
        <v>60</v>
      </c>
      <c r="B61" s="1" t="s">
        <v>14</v>
      </c>
      <c r="C61" s="1">
        <v>2021</v>
      </c>
      <c r="D61" s="36">
        <v>24947143045000</v>
      </c>
      <c r="E61" s="36">
        <v>16671877148000</v>
      </c>
      <c r="F61" s="36">
        <f>5175486652000+690714570000</f>
        <v>5866201222000</v>
      </c>
      <c r="G61" s="36">
        <v>19155501000</v>
      </c>
      <c r="H61" s="37">
        <f t="shared" si="0"/>
        <v>5885356723000</v>
      </c>
      <c r="I61" s="36">
        <v>20702225559000</v>
      </c>
      <c r="J61" s="4">
        <f>335926000+18084871983000+1037173068000+12584904000+43884161000</f>
        <v>19178850042000</v>
      </c>
      <c r="K61" s="36">
        <f>1348520029000+50000000000</f>
        <v>1398520029000</v>
      </c>
      <c r="L61" s="39">
        <f t="shared" si="1"/>
        <v>2389909174000</v>
      </c>
      <c r="M61" s="35">
        <f t="shared" si="2"/>
        <v>124855488000</v>
      </c>
      <c r="N61" s="19">
        <f t="shared" si="3"/>
        <v>2265053686000</v>
      </c>
      <c r="O61" s="19">
        <f t="shared" si="14"/>
        <v>-113635271000</v>
      </c>
    </row>
    <row r="62" spans="1:15" x14ac:dyDescent="0.35">
      <c r="A62" s="1">
        <v>61</v>
      </c>
      <c r="B62" s="1" t="s">
        <v>15</v>
      </c>
      <c r="C62" s="1">
        <v>2017</v>
      </c>
      <c r="D62" s="36">
        <v>9890847326000</v>
      </c>
      <c r="E62" s="36">
        <v>9648151869000</v>
      </c>
      <c r="F62" s="36">
        <f>10866000000+10437000000</f>
        <v>21303000000</v>
      </c>
      <c r="G62" s="36">
        <v>16126392000</v>
      </c>
      <c r="H62" s="37">
        <f t="shared" si="0"/>
        <v>37429392000</v>
      </c>
      <c r="I62" s="36">
        <v>5861316507000</v>
      </c>
      <c r="J62" s="4">
        <f>4777179002000+88531344000+39943197000+31438617000</f>
        <v>4937092160000</v>
      </c>
      <c r="K62" s="36">
        <f>42039556000+699651044000</f>
        <v>741690600000</v>
      </c>
      <c r="L62" s="39">
        <f t="shared" si="1"/>
        <v>205266065000</v>
      </c>
      <c r="M62" s="35">
        <f t="shared" si="2"/>
        <v>182533747000</v>
      </c>
      <c r="N62" s="19">
        <f t="shared" si="3"/>
        <v>22732318000</v>
      </c>
      <c r="O62" s="19"/>
    </row>
    <row r="63" spans="1:15" x14ac:dyDescent="0.35">
      <c r="A63" s="1">
        <v>62</v>
      </c>
      <c r="B63" s="1" t="s">
        <v>15</v>
      </c>
      <c r="C63" s="1">
        <v>2018</v>
      </c>
      <c r="D63" s="36">
        <v>11103279117000</v>
      </c>
      <c r="E63" s="36">
        <v>10785637226000</v>
      </c>
      <c r="F63" s="36">
        <f>10392000000+12457000000</f>
        <v>22849000000</v>
      </c>
      <c r="G63" s="36">
        <v>14594837000</v>
      </c>
      <c r="H63" s="37">
        <f t="shared" si="0"/>
        <v>37443837000</v>
      </c>
      <c r="I63" s="36">
        <v>6729921689000</v>
      </c>
      <c r="J63" s="4">
        <f>4312284028000+53243540000+54418060000+40007144000</f>
        <v>4459952772000</v>
      </c>
      <c r="K63" s="36">
        <f>48640775000+1986155439000</f>
        <v>2034796214000</v>
      </c>
      <c r="L63" s="39">
        <f t="shared" si="1"/>
        <v>280198054000</v>
      </c>
      <c r="M63" s="35">
        <f t="shared" si="2"/>
        <v>235172703000</v>
      </c>
      <c r="N63" s="19">
        <f t="shared" si="3"/>
        <v>45025351000</v>
      </c>
      <c r="O63" s="19">
        <f>N63-N62</f>
        <v>22293033000</v>
      </c>
    </row>
    <row r="64" spans="1:15" x14ac:dyDescent="0.35">
      <c r="A64" s="1">
        <v>63</v>
      </c>
      <c r="B64" s="1" t="s">
        <v>15</v>
      </c>
      <c r="C64" s="1">
        <v>2019</v>
      </c>
      <c r="D64" s="36">
        <v>12117478069000</v>
      </c>
      <c r="E64" s="36">
        <v>11824160110000</v>
      </c>
      <c r="F64" s="36">
        <v>12457000000</v>
      </c>
      <c r="G64" s="36">
        <v>21583548000</v>
      </c>
      <c r="H64" s="37">
        <f t="shared" si="0"/>
        <v>34040548000</v>
      </c>
      <c r="I64" s="36">
        <v>7411804923000</v>
      </c>
      <c r="J64" s="4">
        <f>4956259274000+68766612000+57884367000+21524555000</f>
        <v>5104434808000</v>
      </c>
      <c r="K64" s="36">
        <f>10341128000+1991992312000</f>
        <v>2002333440000</v>
      </c>
      <c r="L64" s="39">
        <f t="shared" si="1"/>
        <v>259277411000</v>
      </c>
      <c r="M64" s="35">
        <f t="shared" si="2"/>
        <v>305036675000</v>
      </c>
      <c r="N64" s="19">
        <f t="shared" si="3"/>
        <v>-45759264000</v>
      </c>
      <c r="O64" s="19">
        <f t="shared" ref="O64:O66" si="15">N64-N63</f>
        <v>-90784615000</v>
      </c>
    </row>
    <row r="65" spans="1:16" x14ac:dyDescent="0.35">
      <c r="A65" s="1">
        <v>64</v>
      </c>
      <c r="B65" s="1" t="s">
        <v>15</v>
      </c>
      <c r="C65" s="1">
        <v>2020</v>
      </c>
      <c r="D65" s="36">
        <v>10917456216000</v>
      </c>
      <c r="E65" s="36">
        <v>10644136835000</v>
      </c>
      <c r="F65" s="36">
        <v>12457000000</v>
      </c>
      <c r="G65" s="36">
        <v>3662276000</v>
      </c>
      <c r="H65" s="37">
        <f t="shared" si="0"/>
        <v>16119276000</v>
      </c>
      <c r="I65" s="36">
        <v>6172266324000</v>
      </c>
      <c r="J65" s="4">
        <f>3893526206000+17887435000+4029525000+61302666000</f>
        <v>3976745832000</v>
      </c>
      <c r="K65" s="36">
        <f>10750732000+1998407472000</f>
        <v>2009158204000</v>
      </c>
      <c r="L65" s="39">
        <f t="shared" si="1"/>
        <v>257200105000</v>
      </c>
      <c r="M65" s="35">
        <f t="shared" si="2"/>
        <v>186362288000</v>
      </c>
      <c r="N65" s="19">
        <f t="shared" si="3"/>
        <v>70837817000</v>
      </c>
      <c r="O65" s="19">
        <f t="shared" si="15"/>
        <v>116597081000</v>
      </c>
    </row>
    <row r="66" spans="1:16" x14ac:dyDescent="0.35">
      <c r="A66" s="1">
        <v>65</v>
      </c>
      <c r="B66" s="1" t="s">
        <v>15</v>
      </c>
      <c r="C66" s="1">
        <v>2021</v>
      </c>
      <c r="D66" s="36">
        <v>7123904019000</v>
      </c>
      <c r="E66" s="36">
        <v>6535206225000</v>
      </c>
      <c r="F66" s="36">
        <v>13224000000</v>
      </c>
      <c r="G66" s="36">
        <v>1345238000</v>
      </c>
      <c r="H66" s="37">
        <f t="shared" si="0"/>
        <v>14569238000</v>
      </c>
      <c r="I66" s="36">
        <v>2317783818000</v>
      </c>
      <c r="J66" s="4">
        <f>1992299748000+55702975000+37155561000+38618480000</f>
        <v>2123776764000</v>
      </c>
      <c r="K66" s="36">
        <f>21086782000</f>
        <v>21086782000</v>
      </c>
      <c r="L66" s="39">
        <f t="shared" si="1"/>
        <v>574128556000</v>
      </c>
      <c r="M66" s="35">
        <f t="shared" si="2"/>
        <v>172920272000</v>
      </c>
      <c r="N66" s="19">
        <f t="shared" si="3"/>
        <v>401208284000</v>
      </c>
      <c r="O66" s="19">
        <f t="shared" si="15"/>
        <v>330370467000</v>
      </c>
    </row>
    <row r="67" spans="1:16" x14ac:dyDescent="0.35">
      <c r="A67" s="1">
        <v>66</v>
      </c>
      <c r="B67" s="1" t="s">
        <v>16</v>
      </c>
      <c r="C67" s="1">
        <v>2017</v>
      </c>
      <c r="D67" s="36">
        <v>3850636684000</v>
      </c>
      <c r="E67" s="36">
        <v>3759856401000</v>
      </c>
      <c r="F67" s="36">
        <v>13400000000</v>
      </c>
      <c r="G67" s="36">
        <f>3638297000+15568939000</f>
        <v>19207236000</v>
      </c>
      <c r="H67" s="37">
        <f t="shared" ref="H67:H101" si="16">F67+G67</f>
        <v>32607236000</v>
      </c>
      <c r="I67" s="36">
        <v>3325880986000</v>
      </c>
      <c r="J67" s="4">
        <f>2278431361000+5067916000+20732488000</f>
        <v>2304231765000</v>
      </c>
      <c r="K67" s="36">
        <f>37128903000+5125166000+102000000000</f>
        <v>144254069000</v>
      </c>
      <c r="L67" s="39">
        <f t="shared" ref="L67:L130" si="17">(D67-E67-H67)</f>
        <v>58173047000</v>
      </c>
      <c r="M67" s="35">
        <f t="shared" ref="M67:M130" si="18">I67-J67-K67</f>
        <v>877395152000</v>
      </c>
      <c r="N67" s="19">
        <f t="shared" ref="N67:N130" si="19">L67-M67</f>
        <v>-819222105000</v>
      </c>
      <c r="O67" s="9"/>
    </row>
    <row r="68" spans="1:16" x14ac:dyDescent="0.35">
      <c r="A68" s="1">
        <v>67</v>
      </c>
      <c r="B68" s="1" t="s">
        <v>16</v>
      </c>
      <c r="C68" s="1">
        <v>2018</v>
      </c>
      <c r="D68" s="36">
        <v>2260886445000</v>
      </c>
      <c r="E68" s="36">
        <v>1929809609000</v>
      </c>
      <c r="F68" s="36">
        <v>193200454000</v>
      </c>
      <c r="G68" s="36">
        <v>7005987000</v>
      </c>
      <c r="H68" s="37">
        <f>F68+G68</f>
        <v>200206441000</v>
      </c>
      <c r="I68" s="36">
        <v>2028696565000</v>
      </c>
      <c r="J68" s="4">
        <f>1253447628000+996007000+20133766000</f>
        <v>1274577401000</v>
      </c>
      <c r="K68" s="36">
        <f>237000000000</f>
        <v>237000000000</v>
      </c>
      <c r="L68" s="19">
        <f>(D68-E68-H68)</f>
        <v>130870395000</v>
      </c>
      <c r="M68" s="35">
        <f t="shared" si="18"/>
        <v>517119164000</v>
      </c>
      <c r="N68" s="19">
        <f t="shared" si="19"/>
        <v>-386248769000</v>
      </c>
      <c r="O68" s="19">
        <f>N68-N67</f>
        <v>432973336000</v>
      </c>
    </row>
    <row r="69" spans="1:16" x14ac:dyDescent="0.35">
      <c r="A69" s="1">
        <v>68</v>
      </c>
      <c r="B69" s="1" t="s">
        <v>16</v>
      </c>
      <c r="C69" s="1">
        <v>2019</v>
      </c>
      <c r="D69" s="36">
        <v>1191295498000</v>
      </c>
      <c r="E69" s="36">
        <v>1017146669000</v>
      </c>
      <c r="F69" s="36">
        <v>52745444000</v>
      </c>
      <c r="G69" s="36">
        <v>6812982000</v>
      </c>
      <c r="H69" s="37">
        <f t="shared" si="16"/>
        <v>59558426000</v>
      </c>
      <c r="I69" s="36">
        <v>597001340000</v>
      </c>
      <c r="J69" s="4">
        <f>474112492000+350266000+52854105000</f>
        <v>527316863000</v>
      </c>
      <c r="K69" s="36">
        <f>231521000</f>
        <v>231521000</v>
      </c>
      <c r="L69" s="39">
        <f t="shared" si="17"/>
        <v>114590403000</v>
      </c>
      <c r="M69" s="35">
        <f t="shared" si="18"/>
        <v>69452956000</v>
      </c>
      <c r="N69" s="19">
        <f t="shared" si="19"/>
        <v>45137447000</v>
      </c>
      <c r="O69" s="19">
        <f t="shared" ref="O69:O71" si="20">N69-N68</f>
        <v>431386216000</v>
      </c>
    </row>
    <row r="70" spans="1:16" x14ac:dyDescent="0.35">
      <c r="A70" s="1">
        <v>69</v>
      </c>
      <c r="B70" s="1" t="s">
        <v>16</v>
      </c>
      <c r="C70" s="1">
        <v>2020</v>
      </c>
      <c r="D70" s="36">
        <v>772208525000</v>
      </c>
      <c r="E70" s="36">
        <v>624950495000</v>
      </c>
      <c r="F70" s="36">
        <v>22267157000</v>
      </c>
      <c r="G70" s="36">
        <v>983366000</v>
      </c>
      <c r="H70" s="37">
        <f t="shared" si="16"/>
        <v>23250523000</v>
      </c>
      <c r="I70" s="36">
        <v>265703138000</v>
      </c>
      <c r="J70" s="4">
        <f>185543806000+15534000+204672000+24797857000</f>
        <v>210561869000</v>
      </c>
      <c r="K70" s="36">
        <f>15534000+81807000+9980352000</f>
        <v>10077693000</v>
      </c>
      <c r="L70" s="39">
        <f t="shared" si="17"/>
        <v>124007507000</v>
      </c>
      <c r="M70" s="35">
        <f t="shared" si="18"/>
        <v>45063576000</v>
      </c>
      <c r="N70" s="19">
        <f t="shared" si="19"/>
        <v>78943931000</v>
      </c>
      <c r="O70" s="19">
        <f t="shared" si="20"/>
        <v>33806484000</v>
      </c>
    </row>
    <row r="71" spans="1:16" x14ac:dyDescent="0.35">
      <c r="A71" s="1">
        <v>70</v>
      </c>
      <c r="B71" s="1" t="s">
        <v>16</v>
      </c>
      <c r="C71" s="1">
        <v>2021</v>
      </c>
      <c r="D71" s="36">
        <v>1279780398000</v>
      </c>
      <c r="E71" s="36">
        <v>1116346993000</v>
      </c>
      <c r="F71" s="36">
        <v>12250000000</v>
      </c>
      <c r="G71" s="36">
        <v>1063463000</v>
      </c>
      <c r="H71" s="37">
        <f t="shared" si="16"/>
        <v>13313463000</v>
      </c>
      <c r="I71" s="36">
        <v>650558755000</v>
      </c>
      <c r="J71" s="4">
        <f>545484500000+518376000+8398769000</f>
        <v>554401645000</v>
      </c>
      <c r="K71" s="36">
        <f>79569000+10947708000</f>
        <v>11027277000</v>
      </c>
      <c r="L71" s="19">
        <f t="shared" si="17"/>
        <v>150119942000</v>
      </c>
      <c r="M71" s="35">
        <f t="shared" si="18"/>
        <v>85129833000</v>
      </c>
      <c r="N71" s="19">
        <f t="shared" si="19"/>
        <v>64990109000</v>
      </c>
      <c r="O71" s="19">
        <f t="shared" si="20"/>
        <v>-13953822000</v>
      </c>
    </row>
    <row r="72" spans="1:16" x14ac:dyDescent="0.35">
      <c r="A72" s="1">
        <v>71</v>
      </c>
      <c r="B72" s="1" t="s">
        <v>17</v>
      </c>
      <c r="C72" s="1">
        <v>2017</v>
      </c>
      <c r="D72" s="41">
        <v>74745570167000</v>
      </c>
      <c r="E72" s="41">
        <v>62549456000000</v>
      </c>
      <c r="F72" s="41">
        <f>4274738000000+6274738000000+676653000000+526886000000</f>
        <v>11753015000000</v>
      </c>
      <c r="G72" s="41">
        <f>46802000000</f>
        <v>46802000000</v>
      </c>
      <c r="H72" s="42">
        <f t="shared" si="16"/>
        <v>11799817000000</v>
      </c>
      <c r="I72" s="41">
        <v>66202194000000</v>
      </c>
      <c r="J72" s="43">
        <f>360322000000+1123803000000+61509693000000+4202000000+80831000000+301712000000</f>
        <v>63380563000000</v>
      </c>
      <c r="K72" s="41">
        <f>669355000000+1933309000000</f>
        <v>2602664000000</v>
      </c>
      <c r="L72" s="39">
        <f t="shared" si="17"/>
        <v>396297167000</v>
      </c>
      <c r="M72" s="35">
        <f t="shared" si="18"/>
        <v>218967000000</v>
      </c>
      <c r="N72" s="19">
        <f t="shared" si="19"/>
        <v>177330167000</v>
      </c>
      <c r="O72" s="19"/>
    </row>
    <row r="73" spans="1:16" x14ac:dyDescent="0.35">
      <c r="A73" s="1">
        <v>72</v>
      </c>
      <c r="B73" s="1" t="s">
        <v>17</v>
      </c>
      <c r="C73" s="1">
        <v>2018</v>
      </c>
      <c r="D73" s="41">
        <v>86971893000000</v>
      </c>
      <c r="E73" s="41">
        <v>70315020000000</v>
      </c>
      <c r="F73" s="41">
        <f>4231414000000+3532751000000+1110919000000+1110919000000</f>
        <v>9986003000000</v>
      </c>
      <c r="G73" s="41">
        <v>93088000000</v>
      </c>
      <c r="H73" s="42">
        <f t="shared" si="16"/>
        <v>10079091000000</v>
      </c>
      <c r="I73" s="41">
        <v>76183319000000</v>
      </c>
      <c r="J73" s="43">
        <f>379174000000+1413974000000+70096562000000+6167000000+128770000000+301433000000</f>
        <v>72326080000000</v>
      </c>
      <c r="K73" s="41">
        <f>713008000000+2731782000000</f>
        <v>3444790000000</v>
      </c>
      <c r="L73" s="39">
        <f t="shared" si="17"/>
        <v>6577782000000</v>
      </c>
      <c r="M73" s="35">
        <f t="shared" si="18"/>
        <v>412449000000</v>
      </c>
      <c r="N73" s="19">
        <f t="shared" si="19"/>
        <v>6165333000000</v>
      </c>
      <c r="O73" s="19">
        <f>N73-N72</f>
        <v>5988002833000</v>
      </c>
    </row>
    <row r="74" spans="1:16" x14ac:dyDescent="0.35">
      <c r="A74" s="1">
        <v>73</v>
      </c>
      <c r="B74" s="1" t="s">
        <v>17</v>
      </c>
      <c r="C74" s="1">
        <v>2019</v>
      </c>
      <c r="D74" s="36">
        <v>93408831000000</v>
      </c>
      <c r="E74" s="36">
        <v>77587817000000</v>
      </c>
      <c r="F74" s="36">
        <f>4143380000000+6832693000000+1636641000000</f>
        <v>12612714000000</v>
      </c>
      <c r="G74" s="36">
        <v>247386000000</v>
      </c>
      <c r="H74" s="37">
        <f t="shared" si="16"/>
        <v>12860100000000</v>
      </c>
      <c r="I74" s="36">
        <v>81066862000000</v>
      </c>
      <c r="J74" s="4">
        <f>368475000000+77009109000000+2800000000+170402000000+366965000000</f>
        <v>77917751000000</v>
      </c>
      <c r="K74" s="36">
        <v>2738334000000</v>
      </c>
      <c r="L74" s="39">
        <f t="shared" si="17"/>
        <v>2960914000000</v>
      </c>
      <c r="M74" s="35">
        <f t="shared" si="18"/>
        <v>410777000000</v>
      </c>
      <c r="N74" s="19">
        <f t="shared" si="19"/>
        <v>2550137000000</v>
      </c>
      <c r="O74" s="19">
        <f t="shared" ref="O74:O76" si="21">N74-N73</f>
        <v>-3615196000000</v>
      </c>
    </row>
    <row r="75" spans="1:16" x14ac:dyDescent="0.35">
      <c r="A75" s="1">
        <v>74</v>
      </c>
      <c r="B75" s="1" t="s">
        <v>17</v>
      </c>
      <c r="C75" s="1">
        <v>2020</v>
      </c>
      <c r="D75" s="36">
        <v>92518025000000</v>
      </c>
      <c r="E75" s="36">
        <v>64369231000000</v>
      </c>
      <c r="F75" s="36">
        <f>4947062000000</f>
        <v>4947062000000</v>
      </c>
      <c r="G75" s="36">
        <v>372551000000</v>
      </c>
      <c r="H75" s="37">
        <f t="shared" si="16"/>
        <v>5319613000000</v>
      </c>
      <c r="I75" s="36">
        <v>79603549000000</v>
      </c>
      <c r="J75" s="4">
        <f>319304000000+72357421000000+2769865000000+108617000000+447323000000</f>
        <v>76002530000000</v>
      </c>
      <c r="K75" s="36">
        <f>1220635000000+2043642000000</f>
        <v>3264277000000</v>
      </c>
      <c r="L75" s="39">
        <f t="shared" si="17"/>
        <v>22829181000000</v>
      </c>
      <c r="M75" s="35">
        <f t="shared" si="18"/>
        <v>336742000000</v>
      </c>
      <c r="N75" s="19">
        <f t="shared" si="19"/>
        <v>22492439000000</v>
      </c>
      <c r="O75" s="19">
        <f t="shared" si="21"/>
        <v>19942302000000</v>
      </c>
    </row>
    <row r="76" spans="1:16" x14ac:dyDescent="0.35">
      <c r="A76" s="1">
        <v>75</v>
      </c>
      <c r="B76" s="1" t="s">
        <v>17</v>
      </c>
      <c r="C76" s="1">
        <v>2021</v>
      </c>
      <c r="D76" s="36">
        <v>119104185000000</v>
      </c>
      <c r="E76" s="36">
        <v>74269770000000</v>
      </c>
      <c r="F76" s="36">
        <f>125500000000+8246664000000+7006212000000</f>
        <v>15378376000000</v>
      </c>
      <c r="G76" s="36">
        <v>821393000000</v>
      </c>
      <c r="H76" s="37">
        <f t="shared" si="16"/>
        <v>16199769000000</v>
      </c>
      <c r="I76" s="36">
        <v>105125905000000</v>
      </c>
      <c r="J76" s="4">
        <f>334117000000+98720992000000+3459974000000+105401000000+385456000000</f>
        <v>103005940000000</v>
      </c>
      <c r="K76" s="36">
        <v>1791503000000</v>
      </c>
      <c r="L76" s="39">
        <f t="shared" si="17"/>
        <v>28634646000000</v>
      </c>
      <c r="M76" s="35">
        <f t="shared" si="18"/>
        <v>328462000000</v>
      </c>
      <c r="N76" s="19">
        <f t="shared" si="19"/>
        <v>28306184000000</v>
      </c>
      <c r="O76" s="19">
        <f t="shared" si="21"/>
        <v>5813745000000</v>
      </c>
    </row>
    <row r="77" spans="1:16" x14ac:dyDescent="0.35">
      <c r="A77" s="1">
        <v>76</v>
      </c>
      <c r="B77" s="1" t="s">
        <v>18</v>
      </c>
      <c r="C77" s="1">
        <v>2017</v>
      </c>
      <c r="D77" s="36">
        <v>507913387670</v>
      </c>
      <c r="E77" s="36">
        <v>69456523574</v>
      </c>
      <c r="F77" s="36">
        <f>3601740164+240828642736+89574752786+5710000000+39005072485</f>
        <v>378720208171</v>
      </c>
      <c r="G77" s="36">
        <v>256664169</v>
      </c>
      <c r="H77" s="37">
        <f t="shared" si="16"/>
        <v>378976872340</v>
      </c>
      <c r="I77" s="36">
        <v>22758936367</v>
      </c>
      <c r="J77" s="4">
        <v>21883000000</v>
      </c>
      <c r="K77" s="36">
        <v>875936367</v>
      </c>
      <c r="L77" s="39">
        <f t="shared" si="17"/>
        <v>59479991756</v>
      </c>
      <c r="M77" s="35">
        <f>I77-J77-K77</f>
        <v>0</v>
      </c>
      <c r="N77" s="19">
        <f t="shared" si="19"/>
        <v>59479991756</v>
      </c>
      <c r="O77" s="19"/>
      <c r="P77" s="26">
        <f>K77+M77</f>
        <v>875936367</v>
      </c>
    </row>
    <row r="78" spans="1:16" x14ac:dyDescent="0.35">
      <c r="A78" s="1">
        <v>77</v>
      </c>
      <c r="B78" s="1" t="s">
        <v>18</v>
      </c>
      <c r="C78" s="1">
        <v>2018</v>
      </c>
      <c r="D78" s="36">
        <v>543334863433</v>
      </c>
      <c r="E78" s="36">
        <v>35443615175</v>
      </c>
      <c r="F78" s="36">
        <f>3781333780+314821824092+137577440350+5710000000+5620837089</f>
        <v>467511435311</v>
      </c>
      <c r="G78" s="36">
        <v>566230079</v>
      </c>
      <c r="H78" s="37">
        <f t="shared" si="16"/>
        <v>468077665390</v>
      </c>
      <c r="I78" s="36">
        <v>19272423025</v>
      </c>
      <c r="J78" s="4">
        <v>18396000000</v>
      </c>
      <c r="K78" s="36">
        <f>I78-J78</f>
        <v>876423025</v>
      </c>
      <c r="L78" s="39">
        <f t="shared" si="17"/>
        <v>39813582868</v>
      </c>
      <c r="M78" s="35">
        <f t="shared" si="18"/>
        <v>0</v>
      </c>
      <c r="N78" s="19">
        <f t="shared" si="19"/>
        <v>39813582868</v>
      </c>
      <c r="O78" s="19">
        <f>N78-N77</f>
        <v>-19666408888</v>
      </c>
    </row>
    <row r="79" spans="1:16" x14ac:dyDescent="0.35">
      <c r="A79" s="1">
        <v>78</v>
      </c>
      <c r="B79" s="1" t="s">
        <v>18</v>
      </c>
      <c r="C79" s="1">
        <v>2019</v>
      </c>
      <c r="D79" s="36">
        <v>418394702709</v>
      </c>
      <c r="E79" s="36">
        <v>24185104415</v>
      </c>
      <c r="F79" s="36">
        <f>3962340531+204803802832+123389424000+5710000000+30453762534</f>
        <v>368319329897</v>
      </c>
      <c r="G79" s="36">
        <v>223238451</v>
      </c>
      <c r="H79" s="37">
        <f t="shared" si="16"/>
        <v>368542568348</v>
      </c>
      <c r="I79" s="36">
        <v>35709910993</v>
      </c>
      <c r="J79" s="4">
        <v>11557000000</v>
      </c>
      <c r="K79" s="36">
        <f t="shared" ref="K79:K81" si="22">I79-J79</f>
        <v>24152910993</v>
      </c>
      <c r="L79" s="39">
        <f t="shared" si="17"/>
        <v>25667029946</v>
      </c>
      <c r="M79" s="35">
        <f t="shared" si="18"/>
        <v>0</v>
      </c>
      <c r="N79" s="19">
        <f t="shared" si="19"/>
        <v>25667029946</v>
      </c>
      <c r="O79" s="19">
        <f t="shared" ref="O79:O81" si="23">N79-N78</f>
        <v>-14146552922</v>
      </c>
    </row>
    <row r="80" spans="1:16" x14ac:dyDescent="0.35">
      <c r="A80" s="1">
        <v>79</v>
      </c>
      <c r="B80" s="1" t="s">
        <v>18</v>
      </c>
      <c r="C80" s="1">
        <v>2020</v>
      </c>
      <c r="D80" s="36">
        <v>334609310613</v>
      </c>
      <c r="E80" s="36">
        <v>27824172197</v>
      </c>
      <c r="F80" s="36">
        <f>143386538233+109969099194+5710000000+28780223005</f>
        <v>287845860432</v>
      </c>
      <c r="G80" s="36">
        <v>54827368</v>
      </c>
      <c r="H80" s="37">
        <f t="shared" si="16"/>
        <v>287900687800</v>
      </c>
      <c r="I80" s="36">
        <v>39785627279</v>
      </c>
      <c r="J80" s="4">
        <v>19252000000</v>
      </c>
      <c r="K80" s="36">
        <f t="shared" si="22"/>
        <v>20533627279</v>
      </c>
      <c r="L80" s="39">
        <f t="shared" si="17"/>
        <v>18884450616</v>
      </c>
      <c r="M80" s="35">
        <f t="shared" si="18"/>
        <v>0</v>
      </c>
      <c r="N80" s="19">
        <f t="shared" si="19"/>
        <v>18884450616</v>
      </c>
      <c r="O80" s="19">
        <f t="shared" si="23"/>
        <v>-6782579330</v>
      </c>
    </row>
    <row r="81" spans="1:15" x14ac:dyDescent="0.35">
      <c r="A81" s="1">
        <v>80</v>
      </c>
      <c r="B81" s="1" t="s">
        <v>18</v>
      </c>
      <c r="C81" s="1">
        <v>2021</v>
      </c>
      <c r="D81" s="36">
        <v>266587854693</v>
      </c>
      <c r="E81" s="36">
        <v>18258620939</v>
      </c>
      <c r="F81" s="36">
        <f>164301883990+35312397684+5710000000+27106683476</f>
        <v>232430965150</v>
      </c>
      <c r="G81" s="36">
        <v>55604319</v>
      </c>
      <c r="H81" s="37">
        <f t="shared" si="16"/>
        <v>232486569469</v>
      </c>
      <c r="I81" s="36">
        <v>24621827763</v>
      </c>
      <c r="J81" s="4">
        <v>8897000000</v>
      </c>
      <c r="K81" s="36">
        <f t="shared" si="22"/>
        <v>15724827763</v>
      </c>
      <c r="L81" s="39">
        <f t="shared" si="17"/>
        <v>15842664285</v>
      </c>
      <c r="M81" s="35">
        <f t="shared" si="18"/>
        <v>0</v>
      </c>
      <c r="N81" s="19">
        <f t="shared" si="19"/>
        <v>15842664285</v>
      </c>
      <c r="O81" s="19">
        <f t="shared" si="23"/>
        <v>-3041786331</v>
      </c>
    </row>
    <row r="82" spans="1:15" x14ac:dyDescent="0.35">
      <c r="A82" s="1">
        <v>81</v>
      </c>
      <c r="B82" s="1" t="s">
        <v>19</v>
      </c>
      <c r="C82" s="1">
        <v>2017</v>
      </c>
      <c r="D82" s="36">
        <v>26471320000000</v>
      </c>
      <c r="E82" s="36">
        <v>3635822000000</v>
      </c>
      <c r="F82" s="36">
        <f>6734117000000+15612699000000</f>
        <v>22346816000000</v>
      </c>
      <c r="G82" s="36">
        <v>7983000000</v>
      </c>
      <c r="H82" s="37">
        <f t="shared" si="16"/>
        <v>22354799000000</v>
      </c>
      <c r="I82" s="36">
        <v>4404630000000</v>
      </c>
      <c r="J82" s="4">
        <f>132865000000+13973000000+55100000000+39604000000</f>
        <v>241542000000</v>
      </c>
      <c r="K82" s="36">
        <v>3893351000000</v>
      </c>
      <c r="L82" s="39">
        <f t="shared" si="17"/>
        <v>480699000000</v>
      </c>
      <c r="M82" s="35">
        <f t="shared" si="18"/>
        <v>269737000000</v>
      </c>
      <c r="N82" s="19">
        <f t="shared" si="19"/>
        <v>210962000000</v>
      </c>
      <c r="O82" s="9"/>
    </row>
    <row r="83" spans="1:15" x14ac:dyDescent="0.35">
      <c r="A83" s="1">
        <v>82</v>
      </c>
      <c r="B83" s="1" t="s">
        <v>19</v>
      </c>
      <c r="C83" s="1">
        <v>2018</v>
      </c>
      <c r="D83" s="36">
        <v>28252725000000</v>
      </c>
      <c r="E83" s="36">
        <v>3988086000000</v>
      </c>
      <c r="F83" s="36">
        <f>6624954000000+17162320000000</f>
        <v>23787274000000</v>
      </c>
      <c r="G83" s="36">
        <v>7107000000</v>
      </c>
      <c r="H83" s="37">
        <f t="shared" si="16"/>
        <v>23794381000000</v>
      </c>
      <c r="I83" s="36">
        <v>4419322000000</v>
      </c>
      <c r="J83" s="4">
        <f>160354000000+3467000000+40448000000+45745000000+40236000000</f>
        <v>290250000000</v>
      </c>
      <c r="K83" s="36">
        <v>3892945000000</v>
      </c>
      <c r="L83" s="39">
        <f t="shared" si="17"/>
        <v>470258000000</v>
      </c>
      <c r="M83" s="35">
        <f t="shared" si="18"/>
        <v>236127000000</v>
      </c>
      <c r="N83" s="19">
        <f t="shared" si="19"/>
        <v>234131000000</v>
      </c>
      <c r="O83" s="19">
        <f>N83-N82</f>
        <v>23169000000</v>
      </c>
    </row>
    <row r="84" spans="1:15" x14ac:dyDescent="0.35">
      <c r="A84" s="1">
        <v>83</v>
      </c>
      <c r="B84" s="1" t="s">
        <v>19</v>
      </c>
      <c r="C84" s="1">
        <v>2019</v>
      </c>
      <c r="D84" s="36">
        <v>30289386000000</v>
      </c>
      <c r="E84" s="36">
        <v>4132189000000</v>
      </c>
      <c r="F84" s="36">
        <f>6948019000000+18767609000000</f>
        <v>25715628000000</v>
      </c>
      <c r="G84" s="36">
        <v>6290000000</v>
      </c>
      <c r="H84" s="37">
        <f t="shared" si="16"/>
        <v>25721918000000</v>
      </c>
      <c r="I84" s="36">
        <v>4338029000000</v>
      </c>
      <c r="J84" s="4">
        <f>206457000000+3596000000+52931000000+50325000000</f>
        <v>313309000000</v>
      </c>
      <c r="K84" s="36">
        <v>3763769000000</v>
      </c>
      <c r="L84" s="39">
        <f t="shared" si="17"/>
        <v>435279000000</v>
      </c>
      <c r="M84" s="35">
        <f t="shared" si="18"/>
        <v>260951000000</v>
      </c>
      <c r="N84" s="19">
        <f t="shared" si="19"/>
        <v>174328000000</v>
      </c>
      <c r="O84" s="19">
        <f t="shared" ref="O84:O86" si="24">N84-N83</f>
        <v>-59803000000</v>
      </c>
    </row>
    <row r="85" spans="1:15" x14ac:dyDescent="0.35">
      <c r="A85" s="1">
        <v>84</v>
      </c>
      <c r="B85" s="1" t="s">
        <v>19</v>
      </c>
      <c r="C85" s="1">
        <v>2020</v>
      </c>
      <c r="D85" s="36">
        <v>32381721000000</v>
      </c>
      <c r="E85" s="36">
        <v>6003987000000</v>
      </c>
      <c r="F85" s="36">
        <f>5831427000000+20128239000000</f>
        <v>25959666000000</v>
      </c>
      <c r="G85" s="36">
        <v>6553000000</v>
      </c>
      <c r="H85" s="37">
        <f t="shared" si="16"/>
        <v>25966219000000</v>
      </c>
      <c r="I85" s="36">
        <v>4484512000000</v>
      </c>
      <c r="J85" s="4">
        <f>301744000000+3477000000+53090000000+53328000000</f>
        <v>411639000000</v>
      </c>
      <c r="K85" s="36">
        <v>3791003000000</v>
      </c>
      <c r="L85" s="39">
        <f t="shared" si="17"/>
        <v>411515000000</v>
      </c>
      <c r="M85" s="35">
        <f t="shared" si="18"/>
        <v>281870000000</v>
      </c>
      <c r="N85" s="19">
        <f t="shared" si="19"/>
        <v>129645000000</v>
      </c>
      <c r="O85" s="19">
        <f t="shared" si="24"/>
        <v>-44683000000</v>
      </c>
    </row>
    <row r="86" spans="1:15" x14ac:dyDescent="0.35">
      <c r="A86" s="1">
        <v>85</v>
      </c>
      <c r="B86" s="1" t="s">
        <v>19</v>
      </c>
      <c r="C86" s="1">
        <v>2021</v>
      </c>
      <c r="D86" s="36">
        <v>33192581000000</v>
      </c>
      <c r="E86" s="36">
        <v>6403757000000</v>
      </c>
      <c r="F86" s="36">
        <f>5695993000000+20685901000000</f>
        <v>26381894000000</v>
      </c>
      <c r="G86" s="36">
        <v>17324000000</v>
      </c>
      <c r="H86" s="37">
        <f t="shared" si="16"/>
        <v>26399218000000</v>
      </c>
      <c r="I86" s="36">
        <v>4364736000000</v>
      </c>
      <c r="J86" s="4">
        <f>199177000000+4413000000+62717000000+43370000000</f>
        <v>309677000000</v>
      </c>
      <c r="K86" s="36">
        <v>3999226000000</v>
      </c>
      <c r="L86" s="39">
        <f t="shared" si="17"/>
        <v>389606000000</v>
      </c>
      <c r="M86" s="35">
        <f t="shared" si="18"/>
        <v>55833000000</v>
      </c>
      <c r="N86" s="19">
        <f t="shared" si="19"/>
        <v>333773000000</v>
      </c>
      <c r="O86" s="19">
        <f t="shared" si="24"/>
        <v>204128000000</v>
      </c>
    </row>
    <row r="87" spans="1:15" x14ac:dyDescent="0.35">
      <c r="A87" s="1">
        <v>86</v>
      </c>
      <c r="B87" s="1" t="s">
        <v>20</v>
      </c>
      <c r="C87" s="1">
        <v>2017</v>
      </c>
      <c r="D87" s="36">
        <v>27086504000000</v>
      </c>
      <c r="E87" s="36">
        <v>22070684000000</v>
      </c>
      <c r="F87" s="36">
        <f>1976168000000+404303000000+449000000</f>
        <v>2380920000000</v>
      </c>
      <c r="G87" s="36">
        <v>92121000000</v>
      </c>
      <c r="H87" s="37">
        <f t="shared" si="16"/>
        <v>2473041000000</v>
      </c>
      <c r="I87" s="36">
        <v>20979506000000</v>
      </c>
      <c r="J87" s="4">
        <f>16928615000000+87126000000+42004000000+16888000000+50822000000</f>
        <v>17125455000000</v>
      </c>
      <c r="K87" s="36">
        <f>205400000000+2035125000000</f>
        <v>2240525000000</v>
      </c>
      <c r="L87" s="39">
        <f t="shared" si="17"/>
        <v>2542779000000</v>
      </c>
      <c r="M87" s="35">
        <f t="shared" si="18"/>
        <v>1613526000000</v>
      </c>
      <c r="N87" s="19">
        <f t="shared" si="19"/>
        <v>929253000000</v>
      </c>
      <c r="O87" s="19"/>
    </row>
    <row r="88" spans="1:15" x14ac:dyDescent="0.35">
      <c r="A88" s="1">
        <v>87</v>
      </c>
      <c r="B88" s="1" t="s">
        <v>20</v>
      </c>
      <c r="C88" s="1">
        <v>2018</v>
      </c>
      <c r="D88" s="36">
        <v>29631693000000</v>
      </c>
      <c r="E88" s="36">
        <v>24849398000000</v>
      </c>
      <c r="F88" s="36">
        <f>1311851000000+449000000</f>
        <v>1312300000000</v>
      </c>
      <c r="G88" s="36">
        <v>27052000000</v>
      </c>
      <c r="H88" s="37">
        <f t="shared" si="16"/>
        <v>1339352000000</v>
      </c>
      <c r="I88" s="36">
        <v>23081225000000</v>
      </c>
      <c r="J88" s="4">
        <f>15391187000000+84576000000+1664000000+17828000000+45790000000</f>
        <v>15541045000000</v>
      </c>
      <c r="K88" s="36">
        <f>206201000000+4745400000000</f>
        <v>4951601000000</v>
      </c>
      <c r="L88" s="39">
        <f t="shared" si="17"/>
        <v>3442943000000</v>
      </c>
      <c r="M88" s="35">
        <f t="shared" si="18"/>
        <v>2588579000000</v>
      </c>
      <c r="N88" s="19">
        <f t="shared" si="19"/>
        <v>854364000000</v>
      </c>
      <c r="O88" s="19">
        <f>N88-N87</f>
        <v>-74889000000</v>
      </c>
    </row>
    <row r="89" spans="1:15" x14ac:dyDescent="0.35">
      <c r="A89" s="1">
        <v>88</v>
      </c>
      <c r="B89" s="1" t="s">
        <v>20</v>
      </c>
      <c r="C89" s="1">
        <v>2019</v>
      </c>
      <c r="D89" s="36">
        <v>36940436000000</v>
      </c>
      <c r="E89" s="36">
        <v>32396746000000</v>
      </c>
      <c r="F89" s="36">
        <f>1832381000000+449000000</f>
        <v>1832830000000</v>
      </c>
      <c r="G89" s="36">
        <v>13555000000</v>
      </c>
      <c r="H89" s="37">
        <f t="shared" si="16"/>
        <v>1846385000000</v>
      </c>
      <c r="I89" s="36">
        <v>30000672000000</v>
      </c>
      <c r="J89" s="4">
        <f>19065370000000+153093000000+2285000000+24398000000+41440000000</f>
        <v>19286586000000</v>
      </c>
      <c r="K89" s="36">
        <f>8024775000000</f>
        <v>8024775000000</v>
      </c>
      <c r="L89" s="39">
        <f t="shared" si="17"/>
        <v>2697305000000</v>
      </c>
      <c r="M89" s="35">
        <f t="shared" si="18"/>
        <v>2689311000000</v>
      </c>
      <c r="N89" s="19">
        <f t="shared" si="19"/>
        <v>7994000000</v>
      </c>
      <c r="O89" s="19">
        <f t="shared" ref="O89:O91" si="25">N89-N88</f>
        <v>-846370000000</v>
      </c>
    </row>
    <row r="90" spans="1:15" x14ac:dyDescent="0.35">
      <c r="A90" s="1">
        <v>89</v>
      </c>
      <c r="B90" s="1" t="s">
        <v>20</v>
      </c>
      <c r="C90" s="1">
        <v>2020</v>
      </c>
      <c r="D90" s="36">
        <v>38053939000000</v>
      </c>
      <c r="E90" s="36">
        <v>32984592000000</v>
      </c>
      <c r="F90" s="36">
        <f>1989822000000+190571000000+449000000</f>
        <v>2180842000000</v>
      </c>
      <c r="G90" s="36">
        <v>17027000000</v>
      </c>
      <c r="H90" s="37">
        <f t="shared" si="16"/>
        <v>2197869000000</v>
      </c>
      <c r="I90" s="36">
        <v>30782968000000</v>
      </c>
      <c r="J90" s="4">
        <f>18492074000000+104339000000+31525000000+18104000000+47129000000</f>
        <v>18693171000000</v>
      </c>
      <c r="K90" s="36">
        <v>10858500000000</v>
      </c>
      <c r="L90" s="39">
        <f t="shared" si="17"/>
        <v>2871478000000</v>
      </c>
      <c r="M90" s="11">
        <f>I90-J90-K90</f>
        <v>1231297000000</v>
      </c>
      <c r="N90" s="19">
        <f t="shared" si="19"/>
        <v>1640181000000</v>
      </c>
      <c r="O90" s="19">
        <f t="shared" si="25"/>
        <v>1632187000000</v>
      </c>
    </row>
    <row r="91" spans="1:15" x14ac:dyDescent="0.35">
      <c r="A91" s="1">
        <v>90</v>
      </c>
      <c r="B91" s="1" t="s">
        <v>20</v>
      </c>
      <c r="C91" s="1">
        <v>2021</v>
      </c>
      <c r="D91" s="36">
        <v>43801571000000</v>
      </c>
      <c r="E91" s="36">
        <v>37679601000000</v>
      </c>
      <c r="F91" s="36">
        <f>2758839000000+595245000000+449000000</f>
        <v>3354533000000</v>
      </c>
      <c r="G91" s="36">
        <v>19741000000</v>
      </c>
      <c r="H91" s="37">
        <f t="shared" si="16"/>
        <v>3374274000000</v>
      </c>
      <c r="I91" s="36">
        <v>34544380000000</v>
      </c>
      <c r="J91" s="4">
        <f>23848020000000+66983000000+36120000000+17623000000+47129000000</f>
        <v>24015875000000</v>
      </c>
      <c r="K91" s="36">
        <v>8941200000000</v>
      </c>
      <c r="L91" s="39">
        <f t="shared" si="17"/>
        <v>2747696000000</v>
      </c>
      <c r="M91" s="11">
        <f t="shared" si="18"/>
        <v>1587305000000</v>
      </c>
      <c r="N91" s="19">
        <f t="shared" si="19"/>
        <v>1160391000000</v>
      </c>
      <c r="O91" s="19">
        <f t="shared" si="25"/>
        <v>-479790000000</v>
      </c>
    </row>
    <row r="92" spans="1:15" x14ac:dyDescent="0.35">
      <c r="A92" s="1">
        <v>91</v>
      </c>
      <c r="B92" s="1" t="s">
        <v>21</v>
      </c>
      <c r="C92" s="1">
        <v>2017</v>
      </c>
      <c r="D92" s="36">
        <v>89086788000000</v>
      </c>
      <c r="E92" s="36">
        <v>31297311000000</v>
      </c>
      <c r="F92" s="36">
        <f>918460000000+166213000000+50581061000000</f>
        <v>51665734000000</v>
      </c>
      <c r="G92" s="36">
        <f>75800000000+33080000000+105500000000</f>
        <v>214380000000</v>
      </c>
      <c r="H92" s="37">
        <f t="shared" si="16"/>
        <v>51880114000000</v>
      </c>
      <c r="I92" s="36">
        <v>66140481000000</v>
      </c>
      <c r="J92" s="4">
        <f>23744668000000+152099000000+221840000000+2705859000000</f>
        <v>26824466000000</v>
      </c>
      <c r="K92" s="36">
        <f>691536000000+4306280000000+2705859000000</f>
        <v>7703675000000</v>
      </c>
      <c r="L92" s="39">
        <f t="shared" si="17"/>
        <v>5909363000000</v>
      </c>
      <c r="M92" s="35">
        <f t="shared" si="18"/>
        <v>31612340000000</v>
      </c>
      <c r="N92" s="19">
        <f t="shared" si="19"/>
        <v>-25702977000000</v>
      </c>
      <c r="O92" s="9"/>
    </row>
    <row r="93" spans="1:15" x14ac:dyDescent="0.35">
      <c r="A93" s="1">
        <v>92</v>
      </c>
      <c r="B93" s="1" t="s">
        <v>21</v>
      </c>
      <c r="C93" s="1">
        <v>2018</v>
      </c>
      <c r="D93" s="36">
        <v>100663451000000</v>
      </c>
      <c r="E93" s="36">
        <v>34542046000000</v>
      </c>
      <c r="F93" s="36">
        <f>422677000000+965224000000+59247522000000</f>
        <v>60635423000000</v>
      </c>
      <c r="G93" s="36">
        <f>186568000000+16119000000+500000000</f>
        <v>203187000000</v>
      </c>
      <c r="H93" s="37">
        <f t="shared" si="16"/>
        <v>60838610000000</v>
      </c>
      <c r="I93" s="36">
        <v>75550211000000</v>
      </c>
      <c r="J93" s="40">
        <f>24457183000000+95891000000+194613000000+3090368000000</f>
        <v>27838055000000</v>
      </c>
      <c r="K93" s="36">
        <f>804738000000+1005251000000+3090368000000</f>
        <v>4900357000000</v>
      </c>
      <c r="L93" s="39">
        <f t="shared" si="17"/>
        <v>5282795000000</v>
      </c>
      <c r="M93" s="35">
        <f t="shared" si="18"/>
        <v>42811799000000</v>
      </c>
      <c r="N93" s="19">
        <f t="shared" si="19"/>
        <v>-37529004000000</v>
      </c>
      <c r="O93" s="19">
        <f>N93-N92</f>
        <v>-11826027000000</v>
      </c>
    </row>
    <row r="94" spans="1:15" x14ac:dyDescent="0.35">
      <c r="A94" s="1">
        <v>93</v>
      </c>
      <c r="B94" s="1" t="s">
        <v>21</v>
      </c>
      <c r="C94" s="1">
        <v>2019</v>
      </c>
      <c r="D94" s="36">
        <v>99624857000000</v>
      </c>
      <c r="E94" s="36">
        <v>37117536000000</v>
      </c>
      <c r="F94" s="36">
        <f>54859930000000+2951424000000+514310000000</f>
        <v>58325664000000</v>
      </c>
      <c r="G94" s="36">
        <f>257153000000+12469000000+4999000000</f>
        <v>274621000000</v>
      </c>
      <c r="H94" s="37">
        <f t="shared" si="16"/>
        <v>58600285000000</v>
      </c>
      <c r="I94" s="36">
        <v>77460250000000</v>
      </c>
      <c r="J94" s="4">
        <f>28911530000000+98609000000+195530000000+3140301000000</f>
        <v>32345970000000</v>
      </c>
      <c r="K94" s="36">
        <f>1328087000000+446581000000+3140301000000</f>
        <v>4914969000000</v>
      </c>
      <c r="L94" s="39">
        <f t="shared" si="17"/>
        <v>3907036000000</v>
      </c>
      <c r="M94" s="35">
        <f t="shared" si="18"/>
        <v>40199311000000</v>
      </c>
      <c r="N94" s="19">
        <f t="shared" si="19"/>
        <v>-36292275000000</v>
      </c>
      <c r="O94" s="19">
        <f t="shared" ref="O94:O96" si="26">N94-N93</f>
        <v>1236729000000</v>
      </c>
    </row>
    <row r="95" spans="1:15" x14ac:dyDescent="0.35">
      <c r="A95" s="1">
        <v>94</v>
      </c>
      <c r="B95" s="1" t="s">
        <v>21</v>
      </c>
      <c r="C95" s="1">
        <v>2020</v>
      </c>
      <c r="D95" s="36">
        <v>108456227000000</v>
      </c>
      <c r="E95" s="36">
        <v>35519474000000</v>
      </c>
      <c r="F95" s="36">
        <f>506252000000+2911162000000+56069446000000</f>
        <v>59486860000000</v>
      </c>
      <c r="G95" s="36">
        <f>111485000000+2336000000</f>
        <v>113821000000</v>
      </c>
      <c r="H95" s="37">
        <f t="shared" si="16"/>
        <v>59600681000000</v>
      </c>
      <c r="I95" s="36">
        <v>85533983000000</v>
      </c>
      <c r="J95" s="4">
        <f>35177072000000+143900000000+253640000000+3013529000000</f>
        <v>38588141000000</v>
      </c>
      <c r="K95" s="36">
        <f>4053356000000+882257000000+3013529000000</f>
        <v>7949142000000</v>
      </c>
      <c r="L95" s="39">
        <f t="shared" si="17"/>
        <v>13336072000000</v>
      </c>
      <c r="M95" s="35">
        <f t="shared" si="18"/>
        <v>38996700000000</v>
      </c>
      <c r="N95" s="19">
        <f t="shared" si="19"/>
        <v>-25660628000000</v>
      </c>
      <c r="O95" s="19">
        <f t="shared" si="26"/>
        <v>10631647000000</v>
      </c>
    </row>
    <row r="96" spans="1:15" x14ac:dyDescent="0.35">
      <c r="A96" s="1">
        <v>95</v>
      </c>
      <c r="B96" s="1" t="s">
        <v>21</v>
      </c>
      <c r="C96" s="1">
        <v>2021</v>
      </c>
      <c r="D96" s="36">
        <v>117509999000000</v>
      </c>
      <c r="E96" s="36">
        <v>34553205000000</v>
      </c>
      <c r="F96" s="36">
        <f>2980272000000+433791000000+69015423000000</f>
        <v>72429486000000</v>
      </c>
      <c r="G96" s="36">
        <f>141665000000+2421000000</f>
        <v>144086000000</v>
      </c>
      <c r="H96" s="37">
        <f t="shared" si="16"/>
        <v>72573572000000</v>
      </c>
      <c r="I96" s="36">
        <v>94727715000000</v>
      </c>
      <c r="J96" s="4">
        <f>42257556000000+119985000000+237008000000+3485895000000</f>
        <v>46100444000000</v>
      </c>
      <c r="K96" s="36">
        <f>585618000000+306591000000+3485895000000</f>
        <v>4378104000000</v>
      </c>
      <c r="L96" s="39">
        <f t="shared" si="17"/>
        <v>10383222000000</v>
      </c>
      <c r="M96" s="35">
        <f t="shared" si="18"/>
        <v>44249167000000</v>
      </c>
      <c r="N96" s="19">
        <f t="shared" si="19"/>
        <v>-33865945000000</v>
      </c>
      <c r="O96" s="19">
        <f t="shared" si="26"/>
        <v>-8205317000000</v>
      </c>
    </row>
    <row r="97" spans="1:15" x14ac:dyDescent="0.35">
      <c r="A97" s="1">
        <v>96</v>
      </c>
      <c r="B97" s="1" t="s">
        <v>22</v>
      </c>
      <c r="C97" s="1">
        <v>2017</v>
      </c>
      <c r="D97" s="36">
        <v>7745732000000</v>
      </c>
      <c r="E97" s="36">
        <v>7538515000000</v>
      </c>
      <c r="F97" s="36">
        <v>0</v>
      </c>
      <c r="G97" s="36">
        <v>101642000000</v>
      </c>
      <c r="H97" s="37">
        <f t="shared" si="16"/>
        <v>101642000000</v>
      </c>
      <c r="I97" s="36">
        <v>6755920000000</v>
      </c>
      <c r="J97" s="4">
        <f>3082884000000+69022000000+30000000+148307000000</f>
        <v>3300243000000</v>
      </c>
      <c r="K97" s="36">
        <f>3062543000000+100000000000</f>
        <v>3162543000000</v>
      </c>
      <c r="L97" s="39">
        <f t="shared" si="17"/>
        <v>105575000000</v>
      </c>
      <c r="M97" s="35">
        <f t="shared" si="18"/>
        <v>293134000000</v>
      </c>
      <c r="N97" s="19">
        <f t="shared" si="19"/>
        <v>-187559000000</v>
      </c>
      <c r="O97" s="9"/>
    </row>
    <row r="98" spans="1:15" x14ac:dyDescent="0.35">
      <c r="A98" s="1">
        <v>97</v>
      </c>
      <c r="B98" s="1" t="s">
        <v>22</v>
      </c>
      <c r="C98" s="1">
        <v>2018</v>
      </c>
      <c r="D98" s="36">
        <v>8827307000000</v>
      </c>
      <c r="E98" s="36">
        <v>8558988000000</v>
      </c>
      <c r="F98" s="36">
        <v>3150000000</v>
      </c>
      <c r="G98" s="36">
        <v>119014000000</v>
      </c>
      <c r="H98" s="37">
        <f t="shared" si="16"/>
        <v>122164000000</v>
      </c>
      <c r="I98" s="36">
        <v>7655464000000</v>
      </c>
      <c r="J98" s="4">
        <f>4559701000000+96114000000+3093000000+128944000000</f>
        <v>4787852000000</v>
      </c>
      <c r="K98" s="36">
        <f>2528597000000+100000000000</f>
        <v>2628597000000</v>
      </c>
      <c r="L98" s="39">
        <f t="shared" si="17"/>
        <v>146155000000</v>
      </c>
      <c r="M98" s="35">
        <f t="shared" si="18"/>
        <v>239015000000</v>
      </c>
      <c r="N98" s="19">
        <f t="shared" si="19"/>
        <v>-92860000000</v>
      </c>
      <c r="O98" s="19">
        <f>N98-N97</f>
        <v>94699000000</v>
      </c>
    </row>
    <row r="99" spans="1:15" x14ac:dyDescent="0.35">
      <c r="A99" s="1">
        <v>98</v>
      </c>
      <c r="B99" s="1" t="s">
        <v>22</v>
      </c>
      <c r="C99" s="1">
        <v>2019</v>
      </c>
      <c r="D99" s="36">
        <v>8271170000000</v>
      </c>
      <c r="E99" s="36">
        <v>8003350000000</v>
      </c>
      <c r="F99" s="36">
        <v>3572000000</v>
      </c>
      <c r="G99" s="36">
        <v>76904000000</v>
      </c>
      <c r="H99" s="37">
        <f t="shared" si="16"/>
        <v>80476000000</v>
      </c>
      <c r="I99" s="36">
        <v>6900593000000</v>
      </c>
      <c r="J99" s="4">
        <f>3622876000000+92563000000+39337000000+135970000000</f>
        <v>3890746000000</v>
      </c>
      <c r="K99" s="36">
        <f>2651540000000+200000000000</f>
        <v>2851540000000</v>
      </c>
      <c r="L99" s="39">
        <f t="shared" si="17"/>
        <v>187344000000</v>
      </c>
      <c r="M99" s="35">
        <f t="shared" si="18"/>
        <v>158307000000</v>
      </c>
      <c r="N99" s="19">
        <f t="shared" si="19"/>
        <v>29037000000</v>
      </c>
      <c r="O99" s="19">
        <f t="shared" ref="O99:O101" si="27">N99-N98</f>
        <v>121897000000</v>
      </c>
    </row>
    <row r="100" spans="1:15" x14ac:dyDescent="0.35">
      <c r="A100" s="1">
        <v>99</v>
      </c>
      <c r="B100" s="1" t="s">
        <v>22</v>
      </c>
      <c r="C100" s="1">
        <v>2020</v>
      </c>
      <c r="D100" s="36">
        <v>5283702000000</v>
      </c>
      <c r="E100" s="36">
        <v>4996069000000</v>
      </c>
      <c r="F100" s="36">
        <v>2817000000</v>
      </c>
      <c r="G100" s="36">
        <v>6218000000</v>
      </c>
      <c r="H100" s="37">
        <f t="shared" si="16"/>
        <v>9035000000</v>
      </c>
      <c r="I100" s="36">
        <v>4070357000000</v>
      </c>
      <c r="J100" s="4">
        <f>1743411000000+40470000000+2564000000+126636000000</f>
        <v>1913081000000</v>
      </c>
      <c r="K100" s="36">
        <f>1799567000000+200000000000</f>
        <v>1999567000000</v>
      </c>
      <c r="L100" s="39">
        <f t="shared" si="17"/>
        <v>278598000000</v>
      </c>
      <c r="M100" s="35">
        <f t="shared" si="18"/>
        <v>157709000000</v>
      </c>
      <c r="N100" s="19">
        <f t="shared" si="19"/>
        <v>120889000000</v>
      </c>
      <c r="O100" s="19">
        <f t="shared" si="27"/>
        <v>91852000000</v>
      </c>
    </row>
    <row r="101" spans="1:15" x14ac:dyDescent="0.35">
      <c r="A101" s="1">
        <v>100</v>
      </c>
      <c r="B101" s="1" t="s">
        <v>22</v>
      </c>
      <c r="C101" s="1">
        <v>2021</v>
      </c>
      <c r="D101" s="36">
        <v>5151084000000</v>
      </c>
      <c r="E101" s="36">
        <v>4888597000000</v>
      </c>
      <c r="F101" s="36">
        <v>3971000000</v>
      </c>
      <c r="G101" s="36">
        <v>12048000000</v>
      </c>
      <c r="H101" s="37">
        <f t="shared" si="16"/>
        <v>16019000000</v>
      </c>
      <c r="I101" s="36">
        <v>3817437000000</v>
      </c>
      <c r="J101" s="4">
        <f>1967885000000+49684000000+23689000000+100244000000</f>
        <v>2141502000000</v>
      </c>
      <c r="K101" s="36">
        <f>1319928000000+200000000000</f>
        <v>1519928000000</v>
      </c>
      <c r="L101" s="39">
        <f t="shared" si="17"/>
        <v>246468000000</v>
      </c>
      <c r="M101" s="35">
        <f t="shared" si="18"/>
        <v>156007000000</v>
      </c>
      <c r="N101" s="19">
        <f t="shared" si="19"/>
        <v>90461000000</v>
      </c>
      <c r="O101" s="19">
        <f t="shared" si="27"/>
        <v>-30428000000</v>
      </c>
    </row>
    <row r="102" spans="1:15" ht="15.5" x14ac:dyDescent="0.35">
      <c r="A102" s="1">
        <v>101</v>
      </c>
      <c r="B102" s="2" t="s">
        <v>78</v>
      </c>
      <c r="C102" s="25">
        <v>2017</v>
      </c>
      <c r="D102" s="44">
        <v>1076575416000</v>
      </c>
      <c r="E102" s="44">
        <v>721510987000</v>
      </c>
      <c r="F102" s="44">
        <v>306881269000</v>
      </c>
      <c r="G102" s="44">
        <v>692256000</v>
      </c>
      <c r="H102" s="44">
        <v>307573525000</v>
      </c>
      <c r="I102" s="44">
        <v>781182992000</v>
      </c>
      <c r="J102" s="44">
        <v>176500611000</v>
      </c>
      <c r="K102" s="44">
        <v>565034618000</v>
      </c>
      <c r="L102" s="39">
        <f t="shared" si="17"/>
        <v>47490904000</v>
      </c>
      <c r="M102" s="35">
        <f t="shared" si="18"/>
        <v>39647763000</v>
      </c>
      <c r="N102" s="19">
        <f t="shared" si="19"/>
        <v>7843141000</v>
      </c>
      <c r="O102" s="9"/>
    </row>
    <row r="103" spans="1:15" ht="15.5" x14ac:dyDescent="0.35">
      <c r="A103" s="1">
        <v>102</v>
      </c>
      <c r="B103" s="2"/>
      <c r="C103" s="25">
        <v>2018</v>
      </c>
      <c r="D103" s="44">
        <v>1061398832000</v>
      </c>
      <c r="E103" s="44">
        <v>686071076000</v>
      </c>
      <c r="F103" s="44">
        <v>333553440000</v>
      </c>
      <c r="G103" s="44">
        <v>562005000</v>
      </c>
      <c r="H103" s="44">
        <v>334115445000</v>
      </c>
      <c r="I103" s="44">
        <v>738435768000</v>
      </c>
      <c r="J103" s="44">
        <v>121915237000</v>
      </c>
      <c r="K103" s="44">
        <v>575323290000</v>
      </c>
      <c r="L103" s="39">
        <f t="shared" si="17"/>
        <v>41212311000</v>
      </c>
      <c r="M103" s="35">
        <f t="shared" si="18"/>
        <v>41197241000</v>
      </c>
      <c r="N103" s="19">
        <f t="shared" si="19"/>
        <v>15070000</v>
      </c>
      <c r="O103" s="19">
        <f>N103-N102</f>
        <v>-7828071000</v>
      </c>
    </row>
    <row r="104" spans="1:15" ht="15.5" x14ac:dyDescent="0.35">
      <c r="A104" s="1">
        <v>103</v>
      </c>
      <c r="B104" s="2"/>
      <c r="C104" s="25">
        <v>2019</v>
      </c>
      <c r="D104" s="44">
        <v>1158038755000</v>
      </c>
      <c r="E104" s="44">
        <v>746868120000</v>
      </c>
      <c r="F104" s="44">
        <v>367849683000</v>
      </c>
      <c r="G104" s="44">
        <v>595503000</v>
      </c>
      <c r="H104" s="44">
        <v>368445186000</v>
      </c>
      <c r="I104" s="44">
        <v>823936164000</v>
      </c>
      <c r="J104" s="44">
        <v>199803553000</v>
      </c>
      <c r="K104" s="44">
        <v>576061150000</v>
      </c>
      <c r="L104" s="39">
        <f t="shared" si="17"/>
        <v>42725449000</v>
      </c>
      <c r="M104" s="35">
        <f t="shared" si="18"/>
        <v>48071461000</v>
      </c>
      <c r="N104" s="19">
        <f t="shared" si="19"/>
        <v>-5346012000</v>
      </c>
      <c r="O104" s="19">
        <f t="shared" ref="O104:O106" si="28">N104-N103</f>
        <v>-5361082000</v>
      </c>
    </row>
    <row r="105" spans="1:15" ht="15.5" x14ac:dyDescent="0.35">
      <c r="A105" s="1">
        <v>104</v>
      </c>
      <c r="B105" s="2"/>
      <c r="C105" s="25">
        <v>2020</v>
      </c>
      <c r="D105" s="44">
        <v>859876511000</v>
      </c>
      <c r="E105" s="44">
        <v>471567395000</v>
      </c>
      <c r="F105" s="44">
        <v>345675142000</v>
      </c>
      <c r="G105" s="44">
        <v>344730000</v>
      </c>
      <c r="H105" s="44">
        <v>346019872000</v>
      </c>
      <c r="I105" s="44">
        <v>508174714000</v>
      </c>
      <c r="J105" s="44">
        <v>114681371000</v>
      </c>
      <c r="K105" s="44">
        <v>353432167000</v>
      </c>
      <c r="L105" s="39">
        <f t="shared" si="17"/>
        <v>42289244000</v>
      </c>
      <c r="M105" s="35">
        <f t="shared" si="18"/>
        <v>40061176000</v>
      </c>
      <c r="N105" s="19">
        <f t="shared" si="19"/>
        <v>2228068000</v>
      </c>
      <c r="O105" s="19">
        <f t="shared" si="28"/>
        <v>7574080000</v>
      </c>
    </row>
    <row r="106" spans="1:15" ht="15.5" x14ac:dyDescent="0.35">
      <c r="A106" s="1">
        <v>105</v>
      </c>
      <c r="B106" s="2"/>
      <c r="C106" s="25">
        <v>2021</v>
      </c>
      <c r="D106" s="44">
        <v>822740369000</v>
      </c>
      <c r="E106" s="44">
        <v>423160864000</v>
      </c>
      <c r="F106" s="44">
        <v>365646173000</v>
      </c>
      <c r="G106" s="44">
        <v>285863000</v>
      </c>
      <c r="H106" s="44">
        <v>365932036000</v>
      </c>
      <c r="I106" s="44">
        <v>462797631000</v>
      </c>
      <c r="J106" s="44">
        <v>111530555000</v>
      </c>
      <c r="K106" s="44">
        <v>320577129000</v>
      </c>
      <c r="L106" s="39">
        <f t="shared" si="17"/>
        <v>33647469000</v>
      </c>
      <c r="M106" s="35">
        <f t="shared" si="18"/>
        <v>30689947000</v>
      </c>
      <c r="N106" s="19">
        <f t="shared" si="19"/>
        <v>2957522000</v>
      </c>
      <c r="O106" s="19">
        <f t="shared" si="28"/>
        <v>729454000</v>
      </c>
    </row>
    <row r="107" spans="1:15" ht="15.5" x14ac:dyDescent="0.35">
      <c r="A107" s="1">
        <v>106</v>
      </c>
      <c r="B107" s="2" t="s">
        <v>79</v>
      </c>
      <c r="C107" s="25">
        <v>2017</v>
      </c>
      <c r="D107" s="44">
        <v>106442999000000</v>
      </c>
      <c r="E107" s="44">
        <v>81374623000000</v>
      </c>
      <c r="F107" s="44">
        <v>11200487000000</v>
      </c>
      <c r="G107" s="44">
        <v>157480000000</v>
      </c>
      <c r="H107" s="44">
        <v>11357967000000</v>
      </c>
      <c r="I107" s="44">
        <v>99684047000000</v>
      </c>
      <c r="J107" s="44">
        <v>90837717000000</v>
      </c>
      <c r="K107" s="44">
        <v>846980000000</v>
      </c>
      <c r="L107" s="39">
        <f t="shared" si="17"/>
        <v>13710409000000</v>
      </c>
      <c r="M107" s="35">
        <f t="shared" si="18"/>
        <v>7999350000000</v>
      </c>
      <c r="N107" s="19">
        <f t="shared" si="19"/>
        <v>5711059000000</v>
      </c>
      <c r="O107" s="9"/>
    </row>
    <row r="108" spans="1:15" ht="15.5" x14ac:dyDescent="0.35">
      <c r="A108" s="1">
        <v>107</v>
      </c>
      <c r="B108" s="2"/>
      <c r="C108" s="25">
        <v>2018</v>
      </c>
      <c r="D108" s="44">
        <v>95643923000000</v>
      </c>
      <c r="E108" s="44">
        <v>76505788000000</v>
      </c>
      <c r="F108" s="44">
        <v>8843553000000</v>
      </c>
      <c r="G108" s="44">
        <v>68953000000</v>
      </c>
      <c r="H108" s="44">
        <v>8912506000000</v>
      </c>
      <c r="I108" s="44">
        <v>87049486000000</v>
      </c>
      <c r="J108" s="44">
        <v>79568020000000</v>
      </c>
      <c r="K108" s="44">
        <v>1279392000000</v>
      </c>
      <c r="L108" s="39">
        <f t="shared" si="17"/>
        <v>10225629000000</v>
      </c>
      <c r="M108" s="35">
        <f t="shared" si="18"/>
        <v>6202074000000</v>
      </c>
      <c r="N108" s="19">
        <f t="shared" si="19"/>
        <v>4023555000000</v>
      </c>
      <c r="O108" s="19">
        <f>N108-N107</f>
        <v>-1687504000000</v>
      </c>
    </row>
    <row r="109" spans="1:15" ht="15.5" x14ac:dyDescent="0.35">
      <c r="A109" s="1">
        <v>108</v>
      </c>
      <c r="B109" s="2"/>
      <c r="C109" s="25">
        <v>2019</v>
      </c>
      <c r="D109" s="44">
        <v>100264248000000</v>
      </c>
      <c r="E109" s="44">
        <v>78599168000000</v>
      </c>
      <c r="F109" s="44">
        <v>9069393000000</v>
      </c>
      <c r="G109" s="44">
        <v>124183000000</v>
      </c>
      <c r="H109" s="44">
        <v>9193576000000</v>
      </c>
      <c r="I109" s="44">
        <v>91358763000000</v>
      </c>
      <c r="J109" s="44">
        <v>82456469000000</v>
      </c>
      <c r="K109" s="44">
        <v>1072147000000</v>
      </c>
      <c r="L109" s="39">
        <f t="shared" si="17"/>
        <v>12471504000000</v>
      </c>
      <c r="M109" s="35">
        <f t="shared" si="18"/>
        <v>7830147000000</v>
      </c>
      <c r="N109" s="19">
        <f t="shared" si="19"/>
        <v>4641357000000</v>
      </c>
      <c r="O109" s="19">
        <f t="shared" ref="O109:O111" si="29">N109-N108</f>
        <v>617802000000</v>
      </c>
    </row>
    <row r="110" spans="1:15" ht="15.5" x14ac:dyDescent="0.35">
      <c r="A110" s="1">
        <v>109</v>
      </c>
      <c r="B110" s="2"/>
      <c r="C110" s="25">
        <v>2020</v>
      </c>
      <c r="D110" s="44">
        <v>79938578000000</v>
      </c>
      <c r="E110" s="44">
        <v>62023240000000</v>
      </c>
      <c r="F110" s="44">
        <v>6026015000000</v>
      </c>
      <c r="G110" s="44">
        <v>265734000000</v>
      </c>
      <c r="H110" s="44">
        <v>6291749000000</v>
      </c>
      <c r="I110" s="44">
        <v>71472136000000</v>
      </c>
      <c r="J110" s="44">
        <v>58263299000000</v>
      </c>
      <c r="K110" s="44">
        <v>3953365000000</v>
      </c>
      <c r="L110" s="39">
        <f t="shared" si="17"/>
        <v>11623589000000</v>
      </c>
      <c r="M110" s="35">
        <f t="shared" si="18"/>
        <v>9255472000000</v>
      </c>
      <c r="N110" s="19">
        <f t="shared" si="19"/>
        <v>2368117000000</v>
      </c>
      <c r="O110" s="19">
        <f t="shared" si="29"/>
        <v>-2273240000000</v>
      </c>
    </row>
    <row r="111" spans="1:15" ht="15.5" x14ac:dyDescent="0.35">
      <c r="A111" s="1">
        <v>110</v>
      </c>
      <c r="B111" s="2"/>
      <c r="C111" s="25">
        <v>2021</v>
      </c>
      <c r="D111" s="44">
        <v>89215674000000</v>
      </c>
      <c r="E111" s="44">
        <v>70325572000000</v>
      </c>
      <c r="F111" s="44">
        <v>8393464000000</v>
      </c>
      <c r="G111" s="44">
        <v>162951000000</v>
      </c>
      <c r="H111" s="44">
        <v>8556415000000</v>
      </c>
      <c r="I111" s="44">
        <v>76009770000000</v>
      </c>
      <c r="J111" s="44">
        <v>65764135000000</v>
      </c>
      <c r="K111" s="44">
        <v>2426241000000</v>
      </c>
      <c r="L111" s="39">
        <f t="shared" si="17"/>
        <v>10333687000000</v>
      </c>
      <c r="M111" s="35">
        <f t="shared" si="18"/>
        <v>7819394000000</v>
      </c>
      <c r="N111" s="19">
        <f t="shared" si="19"/>
        <v>2514293000000</v>
      </c>
      <c r="O111" s="19">
        <f t="shared" si="29"/>
        <v>146176000000</v>
      </c>
    </row>
    <row r="112" spans="1:15" ht="15.5" x14ac:dyDescent="0.35">
      <c r="A112" s="1">
        <v>111</v>
      </c>
      <c r="B112" s="2" t="s">
        <v>80</v>
      </c>
      <c r="C112" s="25">
        <v>2017</v>
      </c>
      <c r="D112" s="44">
        <v>11817844456356</v>
      </c>
      <c r="E112" s="44">
        <v>7556865958694</v>
      </c>
      <c r="F112" s="44">
        <v>3337890899570</v>
      </c>
      <c r="G112" s="44">
        <v>5857999101</v>
      </c>
      <c r="H112" s="44">
        <v>3343748898671</v>
      </c>
      <c r="I112" s="44">
        <v>8735206429836</v>
      </c>
      <c r="J112" s="44">
        <v>8416125295270</v>
      </c>
      <c r="K112" s="44">
        <v>0</v>
      </c>
      <c r="L112" s="39">
        <f t="shared" si="17"/>
        <v>917229598991</v>
      </c>
      <c r="M112" s="35">
        <f t="shared" si="18"/>
        <v>319081134566</v>
      </c>
      <c r="N112" s="19">
        <f t="shared" si="19"/>
        <v>598148464425</v>
      </c>
      <c r="O112" s="9"/>
    </row>
    <row r="113" spans="1:15" ht="15.5" x14ac:dyDescent="0.35">
      <c r="A113" s="1">
        <v>112</v>
      </c>
      <c r="B113" s="2"/>
      <c r="C113" s="25">
        <v>2018</v>
      </c>
      <c r="D113" s="44">
        <v>12093079368934</v>
      </c>
      <c r="E113" s="44">
        <v>8539608076897</v>
      </c>
      <c r="F113" s="44">
        <v>2915096303862</v>
      </c>
      <c r="G113" s="44">
        <v>6445145901</v>
      </c>
      <c r="H113" s="44">
        <v>2921541449763</v>
      </c>
      <c r="I113" s="44">
        <v>9005066283473</v>
      </c>
      <c r="J113" s="44">
        <v>8393558923476</v>
      </c>
      <c r="K113" s="44">
        <v>336448216557</v>
      </c>
      <c r="L113" s="39">
        <f t="shared" si="17"/>
        <v>631929842274</v>
      </c>
      <c r="M113" s="35">
        <f t="shared" si="18"/>
        <v>275059143440</v>
      </c>
      <c r="N113" s="19">
        <f t="shared" si="19"/>
        <v>356870698834</v>
      </c>
      <c r="O113" s="19">
        <f>N113-N112</f>
        <v>-241277765591</v>
      </c>
    </row>
    <row r="114" spans="1:15" ht="15.5" x14ac:dyDescent="0.35">
      <c r="A114" s="1">
        <v>113</v>
      </c>
      <c r="B114" s="2"/>
      <c r="C114" s="25">
        <v>2019</v>
      </c>
      <c r="D114" s="44">
        <v>12900218775263</v>
      </c>
      <c r="E114" s="44">
        <v>8831649615513</v>
      </c>
      <c r="F114" s="44">
        <v>3444862952893</v>
      </c>
      <c r="G114" s="44">
        <v>6270631476</v>
      </c>
      <c r="H114" s="44">
        <v>3451133584369</v>
      </c>
      <c r="I114" s="44">
        <v>9419749653807</v>
      </c>
      <c r="J114" s="44">
        <v>9072455468724</v>
      </c>
      <c r="K114" s="44">
        <v>224031432506</v>
      </c>
      <c r="L114" s="39">
        <f t="shared" si="17"/>
        <v>617435575381</v>
      </c>
      <c r="M114" s="35">
        <f t="shared" si="18"/>
        <v>123262752577</v>
      </c>
      <c r="N114" s="19">
        <f t="shared" si="19"/>
        <v>494172822804</v>
      </c>
      <c r="O114" s="19">
        <f t="shared" ref="O114:O116" si="30">N114-N113</f>
        <v>137302123970</v>
      </c>
    </row>
    <row r="115" spans="1:15" ht="15.5" x14ac:dyDescent="0.35">
      <c r="A115" s="1">
        <v>114</v>
      </c>
      <c r="B115" s="2"/>
      <c r="C115" s="25">
        <v>2020</v>
      </c>
      <c r="D115" s="44">
        <v>14159755232533</v>
      </c>
      <c r="E115" s="44">
        <v>7717826023983</v>
      </c>
      <c r="F115" s="44">
        <v>5804656337068</v>
      </c>
      <c r="G115" s="44">
        <v>19590409286</v>
      </c>
      <c r="H115" s="44">
        <v>5824246746354</v>
      </c>
      <c r="I115" s="44">
        <v>10150492606994</v>
      </c>
      <c r="J115" s="44">
        <v>9943605555249</v>
      </c>
      <c r="K115" s="44">
        <v>0</v>
      </c>
      <c r="L115" s="39">
        <f t="shared" si="17"/>
        <v>617682462196</v>
      </c>
      <c r="M115" s="35">
        <f t="shared" si="18"/>
        <v>206887051745</v>
      </c>
      <c r="N115" s="19">
        <f t="shared" si="19"/>
        <v>410795410451</v>
      </c>
      <c r="O115" s="19">
        <f t="shared" si="30"/>
        <v>-83377412353</v>
      </c>
    </row>
    <row r="116" spans="1:15" ht="15.5" x14ac:dyDescent="0.35">
      <c r="A116" s="1">
        <v>115</v>
      </c>
      <c r="B116" s="2"/>
      <c r="C116" s="25">
        <v>2021</v>
      </c>
      <c r="D116" s="44">
        <v>15983152301240</v>
      </c>
      <c r="E116" s="44">
        <v>8768137786534</v>
      </c>
      <c r="F116" s="44">
        <v>6544833172771</v>
      </c>
      <c r="G116" s="44">
        <v>34395049675</v>
      </c>
      <c r="H116" s="44">
        <v>6579228222446</v>
      </c>
      <c r="I116" s="44">
        <v>11693332176560</v>
      </c>
      <c r="J116" s="44">
        <v>11395252760125</v>
      </c>
      <c r="K116" s="44">
        <v>109547424506</v>
      </c>
      <c r="L116" s="39">
        <f t="shared" si="17"/>
        <v>635786292260</v>
      </c>
      <c r="M116" s="35">
        <f t="shared" si="18"/>
        <v>188531991929</v>
      </c>
      <c r="N116" s="19">
        <f t="shared" si="19"/>
        <v>447254300331</v>
      </c>
      <c r="O116" s="19">
        <f t="shared" si="30"/>
        <v>36458889880</v>
      </c>
    </row>
    <row r="117" spans="1:15" ht="15.5" x14ac:dyDescent="0.35">
      <c r="A117" s="1">
        <v>116</v>
      </c>
      <c r="B117" s="2" t="s">
        <v>81</v>
      </c>
      <c r="C117" s="25">
        <v>2017</v>
      </c>
      <c r="D117" s="44">
        <v>1127447489000000</v>
      </c>
      <c r="E117" s="44">
        <v>864292438000000</v>
      </c>
      <c r="F117" s="44">
        <v>208350804000000</v>
      </c>
      <c r="G117" s="44">
        <v>927453000000</v>
      </c>
      <c r="H117" s="44">
        <v>209278257000000</v>
      </c>
      <c r="I117" s="44">
        <v>959439711000000</v>
      </c>
      <c r="J117" s="44">
        <v>866597295000000</v>
      </c>
      <c r="K117" s="44">
        <v>30395144000000</v>
      </c>
      <c r="L117" s="39">
        <f t="shared" si="17"/>
        <v>53876794000000</v>
      </c>
      <c r="M117" s="35">
        <f t="shared" si="18"/>
        <v>62447272000000</v>
      </c>
      <c r="N117" s="19">
        <f t="shared" si="19"/>
        <v>-8570478000000</v>
      </c>
      <c r="O117" s="9"/>
    </row>
    <row r="118" spans="1:15" ht="15.5" x14ac:dyDescent="0.35">
      <c r="A118" s="1">
        <v>117</v>
      </c>
      <c r="B118" s="2"/>
      <c r="C118" s="25">
        <v>2018</v>
      </c>
      <c r="D118" s="44">
        <v>1296898292000000</v>
      </c>
      <c r="E118" s="44">
        <v>1045843257000000</v>
      </c>
      <c r="F118" s="44">
        <v>195645974000000</v>
      </c>
      <c r="G118" s="44">
        <v>1371867000000</v>
      </c>
      <c r="H118" s="44">
        <v>197017841000000</v>
      </c>
      <c r="I118" s="44">
        <v>1111622961000000</v>
      </c>
      <c r="J118" s="44">
        <v>973806052000000</v>
      </c>
      <c r="K118" s="44">
        <v>41930944000000</v>
      </c>
      <c r="L118" s="39">
        <f t="shared" si="17"/>
        <v>54037194000000</v>
      </c>
      <c r="M118" s="35">
        <f t="shared" si="18"/>
        <v>95885965000000</v>
      </c>
      <c r="N118" s="19">
        <f t="shared" si="19"/>
        <v>-41848771000000</v>
      </c>
      <c r="O118" s="19">
        <f>N118-N117</f>
        <v>-33278293000000</v>
      </c>
    </row>
    <row r="119" spans="1:15" ht="15.5" x14ac:dyDescent="0.35">
      <c r="A119" s="1">
        <v>118</v>
      </c>
      <c r="B119" s="2"/>
      <c r="C119" s="25">
        <v>2019</v>
      </c>
      <c r="D119" s="44">
        <v>1416758840000000</v>
      </c>
      <c r="E119" s="44">
        <v>1039026797000000</v>
      </c>
      <c r="F119" s="44">
        <v>220298027000000</v>
      </c>
      <c r="G119" s="44">
        <v>3422977000000</v>
      </c>
      <c r="H119" s="44">
        <v>223721004000000</v>
      </c>
      <c r="I119" s="44">
        <v>1183155670000000</v>
      </c>
      <c r="J119" s="44">
        <v>1032744990000000</v>
      </c>
      <c r="K119" s="44">
        <v>32387137000000</v>
      </c>
      <c r="L119" s="39">
        <f t="shared" si="17"/>
        <v>154011039000000</v>
      </c>
      <c r="M119" s="35">
        <f t="shared" si="18"/>
        <v>118023543000000</v>
      </c>
      <c r="N119" s="19">
        <f t="shared" si="19"/>
        <v>35987496000000</v>
      </c>
      <c r="O119" s="19">
        <f t="shared" ref="O119:O121" si="31">N119-N118</f>
        <v>77836267000000</v>
      </c>
    </row>
    <row r="120" spans="1:15" ht="15.5" x14ac:dyDescent="0.35">
      <c r="A120" s="1">
        <v>119</v>
      </c>
      <c r="B120" s="2"/>
      <c r="C120" s="25">
        <v>2020</v>
      </c>
      <c r="D120" s="44">
        <v>1610065344000000</v>
      </c>
      <c r="E120" s="44">
        <v>984842352000000</v>
      </c>
      <c r="F120" s="44">
        <v>375575082000000</v>
      </c>
      <c r="G120" s="44">
        <v>4921468000000</v>
      </c>
      <c r="H120" s="44">
        <v>380496550000000</v>
      </c>
      <c r="I120" s="44">
        <v>1278346276000000</v>
      </c>
      <c r="J120" s="44">
        <v>1134984918000000</v>
      </c>
      <c r="K120" s="44">
        <v>37434377000000</v>
      </c>
      <c r="L120" s="39">
        <f t="shared" si="17"/>
        <v>244726442000000</v>
      </c>
      <c r="M120" s="35">
        <f t="shared" si="18"/>
        <v>105926981000000</v>
      </c>
      <c r="N120" s="19">
        <f t="shared" si="19"/>
        <v>138799461000000</v>
      </c>
      <c r="O120" s="19">
        <f t="shared" si="31"/>
        <v>102811965000000</v>
      </c>
    </row>
    <row r="121" spans="1:15" ht="15.5" x14ac:dyDescent="0.35">
      <c r="A121" s="1">
        <v>120</v>
      </c>
      <c r="B121" s="2"/>
      <c r="C121" s="25">
        <v>2021</v>
      </c>
      <c r="D121" s="44">
        <v>1678097734000000</v>
      </c>
      <c r="E121" s="44">
        <v>1149095230000000</v>
      </c>
      <c r="F121" s="44">
        <v>383300804800000</v>
      </c>
      <c r="G121" s="44">
        <v>0</v>
      </c>
      <c r="H121" s="44">
        <v>383300804800000</v>
      </c>
      <c r="I121" s="44">
        <v>1386310930000000</v>
      </c>
      <c r="J121" s="44">
        <v>1193128275000000</v>
      </c>
      <c r="K121" s="44">
        <v>68959922000000</v>
      </c>
      <c r="L121" s="39">
        <f t="shared" si="17"/>
        <v>145701699200000</v>
      </c>
      <c r="M121" s="35">
        <f t="shared" si="18"/>
        <v>124222733000000</v>
      </c>
      <c r="N121" s="19">
        <f t="shared" si="19"/>
        <v>21478966200000</v>
      </c>
      <c r="O121" s="19">
        <f t="shared" si="31"/>
        <v>-117320494800000</v>
      </c>
    </row>
    <row r="122" spans="1:15" ht="15.5" x14ac:dyDescent="0.35">
      <c r="A122" s="1">
        <v>121</v>
      </c>
      <c r="B122" s="2" t="s">
        <v>82</v>
      </c>
      <c r="C122" s="25">
        <v>2017</v>
      </c>
      <c r="D122" s="44">
        <v>5004795018159</v>
      </c>
      <c r="E122" s="44">
        <v>4460115114603</v>
      </c>
      <c r="F122" s="44">
        <v>302751771758</v>
      </c>
      <c r="G122" s="44">
        <v>9239364564</v>
      </c>
      <c r="H122" s="44">
        <v>311991136322</v>
      </c>
      <c r="I122" s="44">
        <v>4328603730902</v>
      </c>
      <c r="J122" s="44">
        <v>4303877075233</v>
      </c>
      <c r="K122" s="44">
        <v>117326417</v>
      </c>
      <c r="L122" s="39">
        <f t="shared" si="17"/>
        <v>232688767234</v>
      </c>
      <c r="M122" s="35">
        <f t="shared" si="18"/>
        <v>24609329252</v>
      </c>
      <c r="N122" s="19">
        <f t="shared" si="19"/>
        <v>208079437982</v>
      </c>
      <c r="O122" s="9"/>
    </row>
    <row r="123" spans="1:15" ht="15.5" x14ac:dyDescent="0.35">
      <c r="A123" s="1">
        <v>122</v>
      </c>
      <c r="B123" s="2"/>
      <c r="C123" s="25">
        <v>2018</v>
      </c>
      <c r="D123" s="44">
        <v>4533729146622</v>
      </c>
      <c r="E123" s="44">
        <v>4044602131348</v>
      </c>
      <c r="F123" s="44">
        <v>215459338372</v>
      </c>
      <c r="G123" s="44">
        <v>6919786801</v>
      </c>
      <c r="H123" s="44">
        <v>222379125173</v>
      </c>
      <c r="I123" s="44">
        <v>3933343821678</v>
      </c>
      <c r="J123" s="44">
        <v>3903951572596</v>
      </c>
      <c r="K123" s="44">
        <v>3167405421</v>
      </c>
      <c r="L123" s="39">
        <f t="shared" si="17"/>
        <v>266747890101</v>
      </c>
      <c r="M123" s="35">
        <f t="shared" si="18"/>
        <v>26224843661</v>
      </c>
      <c r="N123" s="19">
        <f t="shared" si="19"/>
        <v>240523046440</v>
      </c>
      <c r="O123" s="19">
        <f>N123-N122</f>
        <v>32443608458</v>
      </c>
    </row>
    <row r="124" spans="1:15" ht="15.5" x14ac:dyDescent="0.35">
      <c r="A124" s="1">
        <v>123</v>
      </c>
      <c r="B124" s="2"/>
      <c r="C124" s="25">
        <v>2019</v>
      </c>
      <c r="D124" s="44">
        <v>5123734649117</v>
      </c>
      <c r="E124" s="44">
        <v>3941435349135</v>
      </c>
      <c r="F124" s="44">
        <v>551687214642</v>
      </c>
      <c r="G124" s="44">
        <v>6013539102</v>
      </c>
      <c r="H124" s="44">
        <v>557700753744</v>
      </c>
      <c r="I124" s="44">
        <v>4177951053821</v>
      </c>
      <c r="J124" s="44">
        <v>4169060055382</v>
      </c>
      <c r="K124" s="44">
        <v>5213537194</v>
      </c>
      <c r="L124" s="39">
        <f t="shared" si="17"/>
        <v>624598546238</v>
      </c>
      <c r="M124" s="35">
        <f t="shared" si="18"/>
        <v>3677461245</v>
      </c>
      <c r="N124" s="19">
        <f t="shared" si="19"/>
        <v>620921084993</v>
      </c>
      <c r="O124" s="19">
        <f t="shared" ref="O124:O126" si="32">N124-N123</f>
        <v>380398038553</v>
      </c>
    </row>
    <row r="125" spans="1:15" ht="15.5" x14ac:dyDescent="0.35">
      <c r="A125" s="1">
        <v>124</v>
      </c>
      <c r="B125" s="2"/>
      <c r="C125" s="25">
        <v>2020</v>
      </c>
      <c r="D125" s="44">
        <v>5421324398438</v>
      </c>
      <c r="E125" s="44">
        <v>3906934838834</v>
      </c>
      <c r="F125" s="44">
        <v>861213957562</v>
      </c>
      <c r="G125" s="44">
        <v>46340653955</v>
      </c>
      <c r="H125" s="44">
        <v>907554611517</v>
      </c>
      <c r="I125" s="44">
        <v>4300705118122</v>
      </c>
      <c r="J125" s="44">
        <v>4285539501634</v>
      </c>
      <c r="K125" s="44">
        <v>5656675220</v>
      </c>
      <c r="L125" s="39">
        <f t="shared" si="17"/>
        <v>606834948087</v>
      </c>
      <c r="M125" s="35">
        <f t="shared" si="18"/>
        <v>9508941268</v>
      </c>
      <c r="N125" s="19">
        <f t="shared" si="19"/>
        <v>597326006819</v>
      </c>
      <c r="O125" s="19">
        <f t="shared" si="32"/>
        <v>-23595078174</v>
      </c>
    </row>
    <row r="126" spans="1:15" ht="15.5" x14ac:dyDescent="0.35">
      <c r="A126" s="1">
        <v>125</v>
      </c>
      <c r="B126" s="2"/>
      <c r="C126" s="25">
        <v>2021</v>
      </c>
      <c r="D126" s="44">
        <v>11337808684383</v>
      </c>
      <c r="E126" s="44">
        <v>2313975948910</v>
      </c>
      <c r="F126" s="44">
        <v>3362835427000</v>
      </c>
      <c r="G126" s="44">
        <v>65389899719</v>
      </c>
      <c r="H126" s="44">
        <v>3428225326719</v>
      </c>
      <c r="I126" s="44">
        <v>8447980414962</v>
      </c>
      <c r="J126" s="44">
        <v>8341845013239</v>
      </c>
      <c r="K126" s="44">
        <v>57927690587</v>
      </c>
      <c r="L126" s="39">
        <f t="shared" si="17"/>
        <v>5595607408754</v>
      </c>
      <c r="M126" s="35">
        <f t="shared" si="18"/>
        <v>48207711136</v>
      </c>
      <c r="N126" s="19">
        <f t="shared" si="19"/>
        <v>5547399697618</v>
      </c>
      <c r="O126" s="19">
        <f t="shared" si="32"/>
        <v>4950073690799</v>
      </c>
    </row>
    <row r="127" spans="1:15" ht="15.5" x14ac:dyDescent="0.35">
      <c r="A127" s="1">
        <v>126</v>
      </c>
      <c r="B127" s="2" t="s">
        <v>83</v>
      </c>
      <c r="C127" s="25">
        <v>2017</v>
      </c>
      <c r="D127" s="44">
        <v>3123345000000</v>
      </c>
      <c r="E127" s="44">
        <v>2030769000000</v>
      </c>
      <c r="F127" s="44">
        <v>1055619000000</v>
      </c>
      <c r="G127" s="44">
        <v>13506124006</v>
      </c>
      <c r="H127" s="44">
        <v>1069125124006</v>
      </c>
      <c r="I127" s="44">
        <v>1919161000000</v>
      </c>
      <c r="J127" s="44">
        <v>1917221000000</v>
      </c>
      <c r="K127" s="44">
        <v>0</v>
      </c>
      <c r="L127" s="39">
        <f t="shared" si="17"/>
        <v>23450875994</v>
      </c>
      <c r="M127" s="35">
        <f t="shared" si="18"/>
        <v>1940000000</v>
      </c>
      <c r="N127" s="19">
        <f t="shared" si="19"/>
        <v>21510875994</v>
      </c>
      <c r="O127" s="9"/>
    </row>
    <row r="128" spans="1:15" ht="15.5" x14ac:dyDescent="0.35">
      <c r="A128" s="1">
        <v>127</v>
      </c>
      <c r="B128" s="2"/>
      <c r="C128" s="25">
        <v>2018</v>
      </c>
      <c r="D128" s="44">
        <v>3854174000000</v>
      </c>
      <c r="E128" s="44">
        <v>2806359000000</v>
      </c>
      <c r="F128" s="44">
        <v>964591000000</v>
      </c>
      <c r="G128" s="44">
        <v>11877320218</v>
      </c>
      <c r="H128" s="44">
        <v>976468320218</v>
      </c>
      <c r="I128" s="44">
        <v>2646122000000</v>
      </c>
      <c r="J128" s="44">
        <v>2642641000000</v>
      </c>
      <c r="K128" s="44">
        <v>0</v>
      </c>
      <c r="L128" s="39">
        <f t="shared" si="17"/>
        <v>71346679782</v>
      </c>
      <c r="M128" s="35">
        <f t="shared" si="18"/>
        <v>3481000000</v>
      </c>
      <c r="N128" s="19">
        <f t="shared" si="19"/>
        <v>67865679782</v>
      </c>
      <c r="O128" s="19">
        <f>N128-N127</f>
        <v>46354803788</v>
      </c>
    </row>
    <row r="129" spans="1:15" ht="15.5" x14ac:dyDescent="0.35">
      <c r="A129" s="1">
        <v>128</v>
      </c>
      <c r="B129" s="2"/>
      <c r="C129" s="25">
        <v>2019</v>
      </c>
      <c r="D129" s="44">
        <v>5262429000000</v>
      </c>
      <c r="E129" s="44">
        <v>3553017000000</v>
      </c>
      <c r="F129" s="44">
        <v>1621855000000</v>
      </c>
      <c r="G129" s="44">
        <v>0</v>
      </c>
      <c r="H129" s="44">
        <v>1621855000000</v>
      </c>
      <c r="I129" s="44">
        <v>4041333000000</v>
      </c>
      <c r="J129" s="44">
        <v>4037090000000</v>
      </c>
      <c r="K129" s="44">
        <v>0</v>
      </c>
      <c r="L129" s="39">
        <f t="shared" si="17"/>
        <v>87557000000</v>
      </c>
      <c r="M129" s="35">
        <f t="shared" si="18"/>
        <v>4243000000</v>
      </c>
      <c r="N129" s="19">
        <f t="shared" si="19"/>
        <v>83314000000</v>
      </c>
      <c r="O129" s="19">
        <f t="shared" ref="O129:O131" si="33">N129-N128</f>
        <v>15448320218</v>
      </c>
    </row>
    <row r="130" spans="1:15" ht="15.5" x14ac:dyDescent="0.35">
      <c r="A130" s="1">
        <v>129</v>
      </c>
      <c r="B130" s="2"/>
      <c r="C130" s="25">
        <v>2020</v>
      </c>
      <c r="D130" s="44">
        <v>8437685000000</v>
      </c>
      <c r="E130" s="44">
        <v>5003853000000</v>
      </c>
      <c r="F130" s="44">
        <v>3324518000000</v>
      </c>
      <c r="G130" s="44">
        <v>0</v>
      </c>
      <c r="H130" s="44">
        <v>3324518000000</v>
      </c>
      <c r="I130" s="44">
        <v>7220541000000</v>
      </c>
      <c r="J130" s="44">
        <v>7165059000000</v>
      </c>
      <c r="K130" s="44">
        <v>0</v>
      </c>
      <c r="L130" s="39">
        <f t="shared" si="17"/>
        <v>109314000000</v>
      </c>
      <c r="M130" s="35">
        <f t="shared" si="18"/>
        <v>55482000000</v>
      </c>
      <c r="N130" s="19">
        <f t="shared" si="19"/>
        <v>53832000000</v>
      </c>
      <c r="O130" s="19">
        <f t="shared" si="33"/>
        <v>-29482000000</v>
      </c>
    </row>
    <row r="131" spans="1:15" ht="15.5" x14ac:dyDescent="0.35">
      <c r="A131" s="1">
        <v>130</v>
      </c>
      <c r="B131" s="2"/>
      <c r="C131" s="25">
        <v>2021</v>
      </c>
      <c r="D131" s="44">
        <v>15055850000000</v>
      </c>
      <c r="E131" s="44">
        <v>8849733000000</v>
      </c>
      <c r="F131" s="44">
        <v>5903977000000</v>
      </c>
      <c r="G131" s="44">
        <v>0</v>
      </c>
      <c r="H131" s="44">
        <v>5903977000000</v>
      </c>
      <c r="I131" s="44">
        <v>12682175000000</v>
      </c>
      <c r="J131" s="44">
        <v>12587498000000</v>
      </c>
      <c r="K131" s="44">
        <v>31634000000</v>
      </c>
      <c r="L131" s="39">
        <f t="shared" ref="L131:L176" si="34">(D131-E131-H131)</f>
        <v>302140000000</v>
      </c>
      <c r="M131" s="35">
        <f t="shared" ref="M131:M176" si="35">I131-J131-K131</f>
        <v>63043000000</v>
      </c>
      <c r="N131" s="19">
        <f t="shared" ref="N131:N176" si="36">L131-M131</f>
        <v>239097000000</v>
      </c>
      <c r="O131" s="19">
        <f t="shared" si="33"/>
        <v>185265000000</v>
      </c>
    </row>
    <row r="132" spans="1:15" ht="15.5" x14ac:dyDescent="0.35">
      <c r="A132" s="1">
        <v>131</v>
      </c>
      <c r="B132" s="2" t="s">
        <v>84</v>
      </c>
      <c r="C132" s="25">
        <v>2017</v>
      </c>
      <c r="D132" s="44">
        <v>51518581000000</v>
      </c>
      <c r="E132" s="44">
        <v>45351683000000</v>
      </c>
      <c r="F132" s="44">
        <v>4742414000000</v>
      </c>
      <c r="G132" s="44">
        <v>0</v>
      </c>
      <c r="H132" s="44">
        <v>4742414000000</v>
      </c>
      <c r="I132" s="44">
        <v>43702607000000</v>
      </c>
      <c r="J132" s="44">
        <v>42218715000000</v>
      </c>
      <c r="K132" s="44">
        <v>1296878000000</v>
      </c>
      <c r="L132" s="39">
        <f t="shared" si="34"/>
        <v>1424484000000</v>
      </c>
      <c r="M132" s="35">
        <f t="shared" si="35"/>
        <v>187014000000</v>
      </c>
      <c r="N132" s="19">
        <f t="shared" si="36"/>
        <v>1237470000000</v>
      </c>
      <c r="O132" s="9"/>
    </row>
    <row r="133" spans="1:15" ht="15.5" x14ac:dyDescent="0.35">
      <c r="A133" s="1">
        <v>132</v>
      </c>
      <c r="B133" s="2"/>
      <c r="C133" s="25">
        <v>2018</v>
      </c>
      <c r="D133" s="44">
        <v>62689118000000</v>
      </c>
      <c r="E133" s="44">
        <v>52839925000000</v>
      </c>
      <c r="F133" s="44">
        <v>8358336000000</v>
      </c>
      <c r="G133" s="44">
        <v>0</v>
      </c>
      <c r="H133" s="44">
        <v>8358336000000</v>
      </c>
      <c r="I133" s="44">
        <v>54217182000000</v>
      </c>
      <c r="J133" s="44">
        <v>52713601000000</v>
      </c>
      <c r="K133" s="44">
        <v>725563000000</v>
      </c>
      <c r="L133" s="39">
        <f t="shared" si="34"/>
        <v>1490857000000</v>
      </c>
      <c r="M133" s="35">
        <f t="shared" si="35"/>
        <v>778018000000</v>
      </c>
      <c r="N133" s="19">
        <f t="shared" si="36"/>
        <v>712839000000</v>
      </c>
      <c r="O133" s="19">
        <f>N133-N132</f>
        <v>-524631000000</v>
      </c>
    </row>
    <row r="134" spans="1:15" ht="15.5" x14ac:dyDescent="0.35">
      <c r="A134" s="1">
        <v>133</v>
      </c>
      <c r="B134" s="2"/>
      <c r="C134" s="25">
        <v>2019</v>
      </c>
      <c r="D134" s="44">
        <v>76756313000000</v>
      </c>
      <c r="E134" s="44">
        <v>64555877000000</v>
      </c>
      <c r="F134" s="44">
        <v>9563071000000</v>
      </c>
      <c r="G134" s="44">
        <v>0</v>
      </c>
      <c r="H134" s="44">
        <v>9563071000000</v>
      </c>
      <c r="I134" s="44">
        <v>67734755000000</v>
      </c>
      <c r="J134" s="44">
        <v>64289140000000</v>
      </c>
      <c r="K134" s="44">
        <v>1870246000000</v>
      </c>
      <c r="L134" s="39">
        <f t="shared" si="34"/>
        <v>2637365000000</v>
      </c>
      <c r="M134" s="35">
        <f t="shared" si="35"/>
        <v>1575369000000</v>
      </c>
      <c r="N134" s="19">
        <f t="shared" si="36"/>
        <v>1061996000000</v>
      </c>
      <c r="O134" s="19">
        <f t="shared" ref="O134:O136" si="37">N134-N133</f>
        <v>349157000000</v>
      </c>
    </row>
    <row r="135" spans="1:15" ht="15.5" x14ac:dyDescent="0.35">
      <c r="A135" s="1">
        <v>134</v>
      </c>
      <c r="B135" s="2"/>
      <c r="C135" s="25">
        <v>2020</v>
      </c>
      <c r="D135" s="44">
        <v>83619452000000</v>
      </c>
      <c r="E135" s="44">
        <v>66807014000000</v>
      </c>
      <c r="F135" s="44">
        <v>14658619000000</v>
      </c>
      <c r="G135" s="44">
        <v>0</v>
      </c>
      <c r="H135" s="44">
        <v>14658619000000</v>
      </c>
      <c r="I135" s="44">
        <v>73614504000000</v>
      </c>
      <c r="J135" s="44">
        <v>72386519000000</v>
      </c>
      <c r="K135" s="44">
        <v>631355000000</v>
      </c>
      <c r="L135" s="39">
        <f t="shared" si="34"/>
        <v>2153819000000</v>
      </c>
      <c r="M135" s="35">
        <f t="shared" si="35"/>
        <v>596630000000</v>
      </c>
      <c r="N135" s="19">
        <f t="shared" si="36"/>
        <v>1557189000000</v>
      </c>
      <c r="O135" s="19">
        <f t="shared" si="37"/>
        <v>495193000000</v>
      </c>
    </row>
    <row r="136" spans="1:15" ht="15.5" x14ac:dyDescent="0.35">
      <c r="A136" s="1">
        <v>135</v>
      </c>
      <c r="B136" s="2"/>
      <c r="C136" s="25">
        <v>2021</v>
      </c>
      <c r="D136" s="44">
        <v>100723330000000</v>
      </c>
      <c r="E136" s="44">
        <v>66452628000000</v>
      </c>
      <c r="F136" s="44">
        <v>32383023000000</v>
      </c>
      <c r="G136" s="44">
        <v>0</v>
      </c>
      <c r="H136" s="44">
        <v>32383023000000</v>
      </c>
      <c r="I136" s="44">
        <v>89812791000000</v>
      </c>
      <c r="J136" s="44">
        <v>88627765000000</v>
      </c>
      <c r="K136" s="44">
        <v>655288000000</v>
      </c>
      <c r="L136" s="39">
        <f t="shared" si="34"/>
        <v>1887679000000</v>
      </c>
      <c r="M136" s="35">
        <f t="shared" si="35"/>
        <v>529738000000</v>
      </c>
      <c r="N136" s="19">
        <f t="shared" si="36"/>
        <v>1357941000000</v>
      </c>
      <c r="O136" s="19">
        <f t="shared" si="37"/>
        <v>-199248000000</v>
      </c>
    </row>
    <row r="137" spans="1:15" ht="15.5" x14ac:dyDescent="0.35">
      <c r="A137" s="1">
        <v>136</v>
      </c>
      <c r="B137" s="2" t="s">
        <v>85</v>
      </c>
      <c r="C137" s="25">
        <v>2017</v>
      </c>
      <c r="D137" s="44">
        <v>1124700847000000</v>
      </c>
      <c r="E137" s="44">
        <v>899761561000000</v>
      </c>
      <c r="F137" s="44">
        <v>165739713000000</v>
      </c>
      <c r="G137" s="44">
        <v>1616410000000</v>
      </c>
      <c r="H137" s="44">
        <v>167356123000000</v>
      </c>
      <c r="I137" s="44">
        <v>888026817000000</v>
      </c>
      <c r="J137" s="44">
        <v>760772056000000</v>
      </c>
      <c r="K137" s="44">
        <v>35895180000000</v>
      </c>
      <c r="L137" s="39">
        <f t="shared" si="34"/>
        <v>57583163000000</v>
      </c>
      <c r="M137" s="35">
        <f t="shared" si="35"/>
        <v>91359581000000</v>
      </c>
      <c r="N137" s="19">
        <f t="shared" si="36"/>
        <v>-33776418000000</v>
      </c>
      <c r="O137" s="9"/>
    </row>
    <row r="138" spans="1:15" ht="15.5" x14ac:dyDescent="0.35">
      <c r="A138" s="1">
        <v>137</v>
      </c>
      <c r="B138" s="2"/>
      <c r="C138" s="25">
        <v>2018</v>
      </c>
      <c r="D138" s="44">
        <v>1202252094000000</v>
      </c>
      <c r="E138" s="44">
        <v>946528370000000</v>
      </c>
      <c r="F138" s="44">
        <v>181861025000000</v>
      </c>
      <c r="G138" s="44">
        <v>1662531000000</v>
      </c>
      <c r="H138" s="44">
        <v>183523556000000</v>
      </c>
      <c r="I138" s="44">
        <v>941953100000000</v>
      </c>
      <c r="J138" s="44">
        <v>786345902000000</v>
      </c>
      <c r="K138" s="44">
        <v>52339712000000</v>
      </c>
      <c r="L138" s="39">
        <f t="shared" si="34"/>
        <v>72200168000000</v>
      </c>
      <c r="M138" s="35">
        <f t="shared" si="35"/>
        <v>103267486000000</v>
      </c>
      <c r="N138" s="19">
        <f t="shared" si="36"/>
        <v>-31067318000000</v>
      </c>
      <c r="O138" s="19">
        <f>N138-N137</f>
        <v>2709100000000</v>
      </c>
    </row>
    <row r="139" spans="1:15" ht="15.5" x14ac:dyDescent="0.35">
      <c r="A139" s="1">
        <v>138</v>
      </c>
      <c r="B139" s="2"/>
      <c r="C139" s="25">
        <v>2019</v>
      </c>
      <c r="D139" s="44">
        <v>1318246335000000</v>
      </c>
      <c r="E139" s="44">
        <v>1041505171000000</v>
      </c>
      <c r="F139" s="44">
        <v>203916767000000</v>
      </c>
      <c r="G139" s="44">
        <v>1708858000000</v>
      </c>
      <c r="H139" s="44">
        <v>205625625000000</v>
      </c>
      <c r="I139" s="44">
        <v>1025749580000000</v>
      </c>
      <c r="J139" s="44">
        <v>866675662000000</v>
      </c>
      <c r="K139" s="44">
        <v>54792779000000</v>
      </c>
      <c r="L139" s="39">
        <f t="shared" si="34"/>
        <v>71115539000000</v>
      </c>
      <c r="M139" s="35">
        <f t="shared" si="35"/>
        <v>104281139000000</v>
      </c>
      <c r="N139" s="19">
        <f t="shared" si="36"/>
        <v>-33165600000000</v>
      </c>
      <c r="O139" s="19">
        <f t="shared" ref="O139:O141" si="38">N139-N138</f>
        <v>-2098282000000</v>
      </c>
    </row>
    <row r="140" spans="1:15" ht="15.5" x14ac:dyDescent="0.35">
      <c r="A140" s="1">
        <v>139</v>
      </c>
      <c r="B140" s="2"/>
      <c r="C140" s="25">
        <v>2020</v>
      </c>
      <c r="D140" s="44">
        <v>1429334484000000</v>
      </c>
      <c r="E140" s="44">
        <v>1090570973000000</v>
      </c>
      <c r="F140" s="44">
        <v>245363881000000</v>
      </c>
      <c r="G140" s="44">
        <v>201338000000</v>
      </c>
      <c r="H140" s="44">
        <v>245565219000000</v>
      </c>
      <c r="I140" s="44">
        <v>1151267847000000</v>
      </c>
      <c r="J140" s="44">
        <v>967880101669696</v>
      </c>
      <c r="K140" s="44">
        <v>53461655000000</v>
      </c>
      <c r="L140" s="39">
        <f t="shared" si="34"/>
        <v>93198292000000</v>
      </c>
      <c r="M140" s="35">
        <f t="shared" si="35"/>
        <v>129926090330304</v>
      </c>
      <c r="N140" s="19">
        <f t="shared" si="36"/>
        <v>-36727798330304</v>
      </c>
      <c r="O140" s="19">
        <f t="shared" si="38"/>
        <v>-3562198330304</v>
      </c>
    </row>
    <row r="141" spans="1:15" ht="15.5" x14ac:dyDescent="0.35">
      <c r="A141" s="1">
        <v>140</v>
      </c>
      <c r="B141" s="2"/>
      <c r="C141" s="25">
        <v>2021</v>
      </c>
      <c r="D141" s="44">
        <v>1725611128000000</v>
      </c>
      <c r="E141" s="44">
        <v>1229246950000000</v>
      </c>
      <c r="F141" s="44">
        <v>394284643000000</v>
      </c>
      <c r="G141" s="44">
        <v>266692000000</v>
      </c>
      <c r="H141" s="44">
        <v>394551335000000</v>
      </c>
      <c r="I141" s="44">
        <v>1326592237000000</v>
      </c>
      <c r="J141" s="44">
        <v>1133459579000000</v>
      </c>
      <c r="K141" s="44">
        <v>52036083000000</v>
      </c>
      <c r="L141" s="39">
        <f t="shared" si="34"/>
        <v>101812843000000</v>
      </c>
      <c r="M141" s="35">
        <f t="shared" si="35"/>
        <v>141096575000000</v>
      </c>
      <c r="N141" s="19">
        <f t="shared" si="36"/>
        <v>-39283732000000</v>
      </c>
      <c r="O141" s="19">
        <f t="shared" si="38"/>
        <v>-2555933669696</v>
      </c>
    </row>
    <row r="142" spans="1:15" ht="15.5" x14ac:dyDescent="0.35">
      <c r="A142" s="1">
        <v>141</v>
      </c>
      <c r="B142" s="2" t="s">
        <v>86</v>
      </c>
      <c r="C142" s="25">
        <v>2017</v>
      </c>
      <c r="D142" s="44">
        <v>7014677335611</v>
      </c>
      <c r="E142" s="44">
        <v>5793268971618</v>
      </c>
      <c r="F142" s="44">
        <v>393059840915</v>
      </c>
      <c r="G142" s="44">
        <v>6120835360</v>
      </c>
      <c r="H142" s="44">
        <v>399180676275</v>
      </c>
      <c r="I142" s="44">
        <v>5651847900990</v>
      </c>
      <c r="J142" s="44">
        <v>5538710201733</v>
      </c>
      <c r="K142" s="44">
        <v>6332909437</v>
      </c>
      <c r="L142" s="39">
        <f t="shared" si="34"/>
        <v>822227687718</v>
      </c>
      <c r="M142" s="35">
        <f t="shared" si="35"/>
        <v>106804789820</v>
      </c>
      <c r="N142" s="19">
        <f t="shared" si="36"/>
        <v>715422897898</v>
      </c>
      <c r="O142" s="9"/>
    </row>
    <row r="143" spans="1:15" ht="15.5" x14ac:dyDescent="0.35">
      <c r="A143" s="1">
        <v>142</v>
      </c>
      <c r="B143" s="2"/>
      <c r="C143" s="25">
        <v>2018</v>
      </c>
      <c r="D143" s="44">
        <v>7297273467260</v>
      </c>
      <c r="E143" s="44">
        <v>6020859005539</v>
      </c>
      <c r="F143" s="44">
        <v>386891958251</v>
      </c>
      <c r="G143" s="44">
        <v>10858729761</v>
      </c>
      <c r="H143" s="44">
        <v>397750688012</v>
      </c>
      <c r="I143" s="44">
        <v>5802518829966</v>
      </c>
      <c r="J143" s="44">
        <v>5679072981267</v>
      </c>
      <c r="K143" s="44">
        <v>17870621371</v>
      </c>
      <c r="L143" s="39">
        <f t="shared" si="34"/>
        <v>878663773709</v>
      </c>
      <c r="M143" s="35">
        <f t="shared" si="35"/>
        <v>105575227328</v>
      </c>
      <c r="N143" s="19">
        <f t="shared" si="36"/>
        <v>773088546381</v>
      </c>
      <c r="O143" s="19">
        <f>N143-N142</f>
        <v>57665648483</v>
      </c>
    </row>
    <row r="144" spans="1:15" ht="15.5" x14ac:dyDescent="0.35">
      <c r="A144" s="1">
        <v>143</v>
      </c>
      <c r="B144" s="2"/>
      <c r="C144" s="25">
        <v>2019</v>
      </c>
      <c r="D144" s="44">
        <v>7607653715376</v>
      </c>
      <c r="E144" s="44">
        <v>6459089620189</v>
      </c>
      <c r="F144" s="44">
        <v>246253822177</v>
      </c>
      <c r="G144" s="44">
        <v>14198036442</v>
      </c>
      <c r="H144" s="44">
        <v>260451858619</v>
      </c>
      <c r="I144" s="44">
        <v>6083998151873</v>
      </c>
      <c r="J144" s="44">
        <v>5956995576842</v>
      </c>
      <c r="K144" s="44">
        <v>12547769814</v>
      </c>
      <c r="L144" s="39">
        <f t="shared" si="34"/>
        <v>888112236568</v>
      </c>
      <c r="M144" s="35">
        <f t="shared" si="35"/>
        <v>114454805217</v>
      </c>
      <c r="N144" s="19">
        <f t="shared" si="36"/>
        <v>773657431351</v>
      </c>
      <c r="O144" s="19">
        <f t="shared" ref="O144:O146" si="39">N144-N143</f>
        <v>568884970</v>
      </c>
    </row>
    <row r="145" spans="1:15" ht="15.5" x14ac:dyDescent="0.35">
      <c r="A145" s="1">
        <v>144</v>
      </c>
      <c r="B145" s="2"/>
      <c r="C145" s="25">
        <v>2020</v>
      </c>
      <c r="D145" s="44">
        <v>7637524325854</v>
      </c>
      <c r="E145" s="44">
        <v>5309651569698</v>
      </c>
      <c r="F145" s="44">
        <v>1392356704295</v>
      </c>
      <c r="G145" s="44">
        <v>4681369237</v>
      </c>
      <c r="H145" s="44">
        <v>1397038073532</v>
      </c>
      <c r="I145" s="44">
        <v>6128138202911</v>
      </c>
      <c r="J145" s="44">
        <v>5991356811240</v>
      </c>
      <c r="K145" s="44">
        <v>9240910643</v>
      </c>
      <c r="L145" s="39">
        <f t="shared" si="34"/>
        <v>930834682624</v>
      </c>
      <c r="M145" s="35">
        <f t="shared" si="35"/>
        <v>127540481028</v>
      </c>
      <c r="N145" s="19">
        <f t="shared" si="36"/>
        <v>803294201596</v>
      </c>
      <c r="O145" s="19">
        <f t="shared" si="39"/>
        <v>29636770245</v>
      </c>
    </row>
    <row r="146" spans="1:15" ht="15.5" x14ac:dyDescent="0.35">
      <c r="A146" s="1">
        <v>145</v>
      </c>
      <c r="B146" s="2"/>
      <c r="C146" s="25">
        <v>2021</v>
      </c>
      <c r="D146" s="44">
        <v>8666525828600</v>
      </c>
      <c r="E146" s="44">
        <v>5329140278605</v>
      </c>
      <c r="F146" s="44">
        <v>2352748322436</v>
      </c>
      <c r="G146" s="44">
        <v>9535941042</v>
      </c>
      <c r="H146" s="44">
        <v>2362284263478</v>
      </c>
      <c r="I146" s="44">
        <v>6432760566695</v>
      </c>
      <c r="J146" s="44">
        <v>6330241506088</v>
      </c>
      <c r="K146" s="44">
        <v>8729683976</v>
      </c>
      <c r="L146" s="39">
        <f t="shared" si="34"/>
        <v>975101286517</v>
      </c>
      <c r="M146" s="35">
        <f t="shared" si="35"/>
        <v>93789376631</v>
      </c>
      <c r="N146" s="19">
        <f t="shared" si="36"/>
        <v>881311909886</v>
      </c>
      <c r="O146" s="19">
        <f t="shared" si="39"/>
        <v>78017708290</v>
      </c>
    </row>
    <row r="147" spans="1:15" ht="15.5" x14ac:dyDescent="0.35">
      <c r="A147" s="1">
        <v>146</v>
      </c>
      <c r="B147" s="2" t="s">
        <v>87</v>
      </c>
      <c r="C147" s="25">
        <v>2017</v>
      </c>
      <c r="D147" s="44">
        <v>16322593372000</v>
      </c>
      <c r="E147" s="44">
        <v>12942733826000</v>
      </c>
      <c r="F147" s="44">
        <v>3049320611000</v>
      </c>
      <c r="G147" s="44">
        <v>0</v>
      </c>
      <c r="H147" s="44">
        <v>3049320611000</v>
      </c>
      <c r="I147" s="44">
        <v>13211308495000</v>
      </c>
      <c r="J147" s="44">
        <v>12462490192000</v>
      </c>
      <c r="K147" s="44">
        <v>55591193000</v>
      </c>
      <c r="L147" s="39">
        <f t="shared" si="34"/>
        <v>330538935000</v>
      </c>
      <c r="M147" s="35">
        <f t="shared" si="35"/>
        <v>693227110000</v>
      </c>
      <c r="N147" s="19">
        <f t="shared" si="36"/>
        <v>-362688175000</v>
      </c>
      <c r="O147" s="9"/>
    </row>
    <row r="148" spans="1:15" ht="15.5" x14ac:dyDescent="0.35">
      <c r="A148" s="1">
        <v>147</v>
      </c>
      <c r="B148" s="2"/>
      <c r="C148" s="25">
        <v>2018</v>
      </c>
      <c r="D148" s="44">
        <v>23313671252000</v>
      </c>
      <c r="E148" s="44">
        <v>17580399364498</v>
      </c>
      <c r="F148" s="44">
        <v>1931590330000</v>
      </c>
      <c r="G148" s="44">
        <v>0</v>
      </c>
      <c r="H148" s="44">
        <v>1931590330000</v>
      </c>
      <c r="I148" s="44">
        <v>18889385436000</v>
      </c>
      <c r="J148" s="44">
        <v>18160989151000</v>
      </c>
      <c r="K148" s="44">
        <v>59524964000</v>
      </c>
      <c r="L148" s="39">
        <f t="shared" si="34"/>
        <v>3801681557502</v>
      </c>
      <c r="M148" s="35">
        <f t="shared" si="35"/>
        <v>668871321000</v>
      </c>
      <c r="N148" s="19">
        <f t="shared" si="36"/>
        <v>3132810236502</v>
      </c>
      <c r="O148" s="19">
        <f>N147</f>
        <v>-362688175000</v>
      </c>
    </row>
    <row r="149" spans="1:15" ht="15.5" x14ac:dyDescent="0.35">
      <c r="A149" s="1">
        <v>148</v>
      </c>
      <c r="B149" s="2"/>
      <c r="C149" s="25">
        <v>2019</v>
      </c>
      <c r="D149" s="44">
        <v>27067922912000</v>
      </c>
      <c r="E149" s="44">
        <v>20903675728000</v>
      </c>
      <c r="F149" s="44">
        <v>5789482357000</v>
      </c>
      <c r="G149" s="44">
        <v>0</v>
      </c>
      <c r="H149" s="44">
        <v>5789482357000</v>
      </c>
      <c r="I149" s="44">
        <v>22586218693000</v>
      </c>
      <c r="J149" s="44">
        <v>21901688965000</v>
      </c>
      <c r="K149" s="44">
        <v>144430000</v>
      </c>
      <c r="L149" s="39">
        <f t="shared" si="34"/>
        <v>374764827000</v>
      </c>
      <c r="M149" s="35">
        <f t="shared" si="35"/>
        <v>684385298000</v>
      </c>
      <c r="N149" s="19">
        <f t="shared" si="36"/>
        <v>-309620471000</v>
      </c>
      <c r="O149" s="19">
        <f t="shared" ref="O149:O151" si="40">N148</f>
        <v>3132810236502</v>
      </c>
    </row>
    <row r="150" spans="1:15" ht="15.5" x14ac:dyDescent="0.35">
      <c r="A150" s="1">
        <v>149</v>
      </c>
      <c r="B150" s="2"/>
      <c r="C150" s="25">
        <v>2020</v>
      </c>
      <c r="D150" s="44">
        <v>28015492262000</v>
      </c>
      <c r="E150" s="44">
        <v>21127582403000</v>
      </c>
      <c r="F150" s="44">
        <v>6408771180000</v>
      </c>
      <c r="G150" s="44">
        <v>0</v>
      </c>
      <c r="H150" s="44">
        <v>6408771180000</v>
      </c>
      <c r="I150" s="44">
        <v>23727802051000</v>
      </c>
      <c r="J150" s="44">
        <v>23224254951000</v>
      </c>
      <c r="K150" s="44">
        <v>17318944000</v>
      </c>
      <c r="L150" s="39">
        <f t="shared" si="34"/>
        <v>479138679000</v>
      </c>
      <c r="M150" s="35">
        <f t="shared" si="35"/>
        <v>486228156000</v>
      </c>
      <c r="N150" s="19">
        <f t="shared" si="36"/>
        <v>-7089477000</v>
      </c>
      <c r="O150" s="19">
        <f t="shared" si="40"/>
        <v>-309620471000</v>
      </c>
    </row>
    <row r="151" spans="1:15" ht="15.5" x14ac:dyDescent="0.35">
      <c r="A151" s="1">
        <v>150</v>
      </c>
      <c r="B151" s="2"/>
      <c r="C151" s="25">
        <v>2021</v>
      </c>
      <c r="D151" s="44">
        <v>16866522655000</v>
      </c>
      <c r="E151" s="44">
        <v>11965504577000</v>
      </c>
      <c r="F151" s="44">
        <v>4142312705000</v>
      </c>
      <c r="G151" s="44">
        <v>0</v>
      </c>
      <c r="H151" s="44">
        <v>4142312705000</v>
      </c>
      <c r="I151" s="44">
        <v>14408859476000</v>
      </c>
      <c r="J151" s="44">
        <v>13807525331000</v>
      </c>
      <c r="K151" s="44">
        <v>109078796000</v>
      </c>
      <c r="L151" s="39">
        <f t="shared" si="34"/>
        <v>758705373000</v>
      </c>
      <c r="M151" s="35">
        <f t="shared" si="35"/>
        <v>492255349000</v>
      </c>
      <c r="N151" s="19">
        <f t="shared" si="36"/>
        <v>266450024000</v>
      </c>
      <c r="O151" s="19">
        <f t="shared" si="40"/>
        <v>-7089477000</v>
      </c>
    </row>
    <row r="152" spans="1:15" ht="15.5" x14ac:dyDescent="0.35">
      <c r="A152" s="1">
        <v>151</v>
      </c>
      <c r="B152" s="2" t="s">
        <v>88</v>
      </c>
      <c r="C152" s="25">
        <v>2017</v>
      </c>
      <c r="D152" s="44">
        <v>30404078000000</v>
      </c>
      <c r="E152" s="44">
        <v>24369706000000</v>
      </c>
      <c r="F152" s="44">
        <v>3564505000000</v>
      </c>
      <c r="G152" s="44">
        <v>108977000000</v>
      </c>
      <c r="H152" s="44">
        <v>3673482000000</v>
      </c>
      <c r="I152" s="44">
        <v>22822617000000</v>
      </c>
      <c r="J152" s="44">
        <v>22251952000000</v>
      </c>
      <c r="K152" s="44">
        <v>172460000000</v>
      </c>
      <c r="L152" s="39">
        <f t="shared" si="34"/>
        <v>2360890000000</v>
      </c>
      <c r="M152" s="35">
        <f t="shared" si="35"/>
        <v>398205000000</v>
      </c>
      <c r="N152" s="19">
        <f t="shared" si="36"/>
        <v>1962685000000</v>
      </c>
      <c r="O152" s="9"/>
    </row>
    <row r="153" spans="1:15" ht="15.5" x14ac:dyDescent="0.35">
      <c r="A153" s="1">
        <v>152</v>
      </c>
      <c r="B153" s="2"/>
      <c r="C153" s="25">
        <v>2018</v>
      </c>
      <c r="D153" s="44">
        <v>30748742000000</v>
      </c>
      <c r="E153" s="44">
        <v>24482921000000</v>
      </c>
      <c r="F153" s="44">
        <v>3371876000000</v>
      </c>
      <c r="G153" s="44">
        <v>100203000000</v>
      </c>
      <c r="H153" s="44">
        <v>3472079000000</v>
      </c>
      <c r="I153" s="44">
        <v>23532846000000</v>
      </c>
      <c r="J153" s="44">
        <v>23037390000000</v>
      </c>
      <c r="K153" s="44">
        <v>232457000000</v>
      </c>
      <c r="L153" s="39">
        <f t="shared" si="34"/>
        <v>2793742000000</v>
      </c>
      <c r="M153" s="35">
        <f t="shared" si="35"/>
        <v>262999000000</v>
      </c>
      <c r="N153" s="19">
        <f t="shared" si="36"/>
        <v>2530743000000</v>
      </c>
      <c r="O153" s="19">
        <f>N153-N152</f>
        <v>568058000000</v>
      </c>
    </row>
    <row r="154" spans="1:15" ht="15.5" x14ac:dyDescent="0.35">
      <c r="A154" s="1">
        <v>153</v>
      </c>
      <c r="B154" s="2"/>
      <c r="C154" s="25">
        <v>2019</v>
      </c>
      <c r="D154" s="44">
        <v>36559556000000</v>
      </c>
      <c r="E154" s="44">
        <v>25974422000000</v>
      </c>
      <c r="F154" s="44">
        <v>5692959000000</v>
      </c>
      <c r="G154" s="44">
        <v>177305000000</v>
      </c>
      <c r="H154" s="44">
        <v>5870264000000</v>
      </c>
      <c r="I154" s="44">
        <v>26385919000000</v>
      </c>
      <c r="J154" s="44">
        <v>25622634000000</v>
      </c>
      <c r="K154" s="44">
        <v>265212000000</v>
      </c>
      <c r="L154" s="39">
        <f t="shared" si="34"/>
        <v>4714870000000</v>
      </c>
      <c r="M154" s="35">
        <f t="shared" si="35"/>
        <v>498073000000</v>
      </c>
      <c r="N154" s="19">
        <f t="shared" si="36"/>
        <v>4216797000000</v>
      </c>
      <c r="O154" s="19">
        <f t="shared" ref="O154:O156" si="41">N154-N153</f>
        <v>1686054000000</v>
      </c>
    </row>
    <row r="155" spans="1:15" ht="15.5" x14ac:dyDescent="0.35">
      <c r="A155" s="1">
        <v>154</v>
      </c>
      <c r="B155" s="2"/>
      <c r="C155" s="25">
        <v>2020</v>
      </c>
      <c r="D155" s="44">
        <v>44612045000000</v>
      </c>
      <c r="E155" s="44">
        <v>25346853000000</v>
      </c>
      <c r="F155" s="44">
        <v>13769389000000</v>
      </c>
      <c r="G155" s="44">
        <v>113821000000</v>
      </c>
      <c r="H155" s="44">
        <v>13883210000000</v>
      </c>
      <c r="I155" s="44">
        <v>32557921000000</v>
      </c>
      <c r="J155" s="44">
        <v>31089445000000</v>
      </c>
      <c r="K155" s="44">
        <v>153617000000</v>
      </c>
      <c r="L155" s="39">
        <f t="shared" si="34"/>
        <v>5381982000000</v>
      </c>
      <c r="M155" s="35">
        <f t="shared" si="35"/>
        <v>1314859000000</v>
      </c>
      <c r="N155" s="19">
        <f t="shared" si="36"/>
        <v>4067123000000</v>
      </c>
      <c r="O155" s="19">
        <f t="shared" si="41"/>
        <v>-149674000000</v>
      </c>
    </row>
    <row r="156" spans="1:15" ht="15.5" x14ac:dyDescent="0.35">
      <c r="A156" s="1">
        <v>155</v>
      </c>
      <c r="B156" s="2"/>
      <c r="C156" s="25">
        <v>2021</v>
      </c>
      <c r="D156" s="44">
        <v>52267198100000</v>
      </c>
      <c r="E156" s="44">
        <v>32010447000000</v>
      </c>
      <c r="F156" s="44">
        <v>16255518000000</v>
      </c>
      <c r="G156" s="44">
        <v>144086000000</v>
      </c>
      <c r="H156" s="44">
        <v>16399604000000</v>
      </c>
      <c r="I156" s="44">
        <v>38799669000000</v>
      </c>
      <c r="J156" s="44">
        <v>38186732000000</v>
      </c>
      <c r="K156" s="44">
        <v>250424000000</v>
      </c>
      <c r="L156" s="39">
        <f t="shared" si="34"/>
        <v>3857147100000</v>
      </c>
      <c r="M156" s="35">
        <f t="shared" si="35"/>
        <v>362513000000</v>
      </c>
      <c r="N156" s="19">
        <f t="shared" si="36"/>
        <v>3494634100000</v>
      </c>
      <c r="O156" s="19">
        <f t="shared" si="41"/>
        <v>-572488900000</v>
      </c>
    </row>
    <row r="157" spans="1:15" ht="15.5" x14ac:dyDescent="0.35">
      <c r="A157" s="1">
        <v>156</v>
      </c>
      <c r="B157" s="2" t="s">
        <v>89</v>
      </c>
      <c r="C157" s="25">
        <v>2017</v>
      </c>
      <c r="D157" s="44">
        <v>27727008000000</v>
      </c>
      <c r="E157" s="44">
        <v>21169612000000</v>
      </c>
      <c r="F157" s="44">
        <v>2914819000000</v>
      </c>
      <c r="G157" s="44">
        <v>20140000000</v>
      </c>
      <c r="H157" s="44">
        <v>2934959000000</v>
      </c>
      <c r="I157" s="44">
        <v>23219096000000</v>
      </c>
      <c r="J157" s="44">
        <v>22552894000000</v>
      </c>
      <c r="K157" s="44">
        <v>203910000000</v>
      </c>
      <c r="L157" s="39">
        <f t="shared" si="34"/>
        <v>3622437000000</v>
      </c>
      <c r="M157" s="35">
        <f t="shared" si="35"/>
        <v>462292000000</v>
      </c>
      <c r="N157" s="19">
        <f t="shared" si="36"/>
        <v>3160145000000</v>
      </c>
      <c r="O157" s="9"/>
    </row>
    <row r="158" spans="1:15" ht="15.5" x14ac:dyDescent="0.35">
      <c r="A158" s="1">
        <v>157</v>
      </c>
      <c r="B158" s="2"/>
      <c r="C158" s="25">
        <v>2018</v>
      </c>
      <c r="D158" s="44">
        <v>26025188000000</v>
      </c>
      <c r="E158" s="44">
        <v>19536257000000</v>
      </c>
      <c r="F158" s="44">
        <v>2505522000000</v>
      </c>
      <c r="G158" s="44">
        <v>29016000000</v>
      </c>
      <c r="H158" s="44">
        <v>2534538000000</v>
      </c>
      <c r="I158" s="44">
        <v>21438077000000</v>
      </c>
      <c r="J158" s="44">
        <v>20836167000000</v>
      </c>
      <c r="K158" s="44">
        <v>101955000000</v>
      </c>
      <c r="L158" s="39">
        <f t="shared" si="34"/>
        <v>3954393000000</v>
      </c>
      <c r="M158" s="35">
        <f t="shared" si="35"/>
        <v>499955000000</v>
      </c>
      <c r="N158" s="19">
        <f t="shared" si="36"/>
        <v>3454438000000</v>
      </c>
      <c r="O158" s="19">
        <f>N158-N157</f>
        <v>294293000000</v>
      </c>
    </row>
    <row r="159" spans="1:15" ht="15.5" x14ac:dyDescent="0.35">
      <c r="A159" s="1">
        <v>158</v>
      </c>
      <c r="B159" s="2"/>
      <c r="C159" s="25">
        <v>2019</v>
      </c>
      <c r="D159" s="44">
        <v>25532041000000</v>
      </c>
      <c r="E159" s="44">
        <v>17462100000000</v>
      </c>
      <c r="F159" s="44">
        <v>3463324000000</v>
      </c>
      <c r="G159" s="44">
        <v>13965000000</v>
      </c>
      <c r="H159" s="44">
        <v>3477289000000</v>
      </c>
      <c r="I159" s="44">
        <v>20995806000000</v>
      </c>
      <c r="J159" s="44">
        <v>20413975000000</v>
      </c>
      <c r="K159" s="44">
        <v>0</v>
      </c>
      <c r="L159" s="39">
        <f t="shared" si="34"/>
        <v>4592652000000</v>
      </c>
      <c r="M159" s="35">
        <f t="shared" si="35"/>
        <v>581831000000</v>
      </c>
      <c r="N159" s="19">
        <f t="shared" si="36"/>
        <v>4010821000000</v>
      </c>
      <c r="O159" s="19">
        <f t="shared" ref="O159:O161" si="42">N159-N158</f>
        <v>556383000000</v>
      </c>
    </row>
    <row r="160" spans="1:15" ht="15.5" x14ac:dyDescent="0.35">
      <c r="A160" s="1">
        <v>159</v>
      </c>
      <c r="B160" s="2"/>
      <c r="C160" s="25">
        <v>2020</v>
      </c>
      <c r="D160" s="44">
        <v>30526965000000</v>
      </c>
      <c r="E160" s="44">
        <v>15287554000000</v>
      </c>
      <c r="F160" s="44">
        <v>9732310000000</v>
      </c>
      <c r="G160" s="44">
        <v>1495000000</v>
      </c>
      <c r="H160" s="44">
        <v>9733805000000</v>
      </c>
      <c r="I160" s="44">
        <v>26967430000000</v>
      </c>
      <c r="J160" s="44">
        <v>25760939000000</v>
      </c>
      <c r="K160" s="44">
        <v>200000000000</v>
      </c>
      <c r="L160" s="39">
        <f t="shared" si="34"/>
        <v>5505606000000</v>
      </c>
      <c r="M160" s="35">
        <f t="shared" si="35"/>
        <v>1006491000000</v>
      </c>
      <c r="N160" s="19">
        <f t="shared" si="36"/>
        <v>4499115000000</v>
      </c>
      <c r="O160" s="19">
        <f t="shared" si="42"/>
        <v>488294000000</v>
      </c>
    </row>
    <row r="161" spans="1:15" ht="15.5" x14ac:dyDescent="0.35">
      <c r="A161" s="1">
        <v>160</v>
      </c>
      <c r="B161" s="2"/>
      <c r="C161" s="25">
        <v>2021</v>
      </c>
      <c r="D161" s="44">
        <v>26127820000000</v>
      </c>
      <c r="E161" s="44">
        <v>15925550000000</v>
      </c>
      <c r="F161" s="44">
        <v>5540238000000</v>
      </c>
      <c r="G161" s="44">
        <v>871000000</v>
      </c>
      <c r="H161" s="44">
        <v>5541109000000</v>
      </c>
      <c r="I161" s="44">
        <v>22173871000000</v>
      </c>
      <c r="J161" s="44">
        <v>21095629000000</v>
      </c>
      <c r="K161" s="44">
        <v>200000000000</v>
      </c>
      <c r="L161" s="39">
        <f t="shared" si="34"/>
        <v>4661161000000</v>
      </c>
      <c r="M161" s="35">
        <f t="shared" si="35"/>
        <v>878242000000</v>
      </c>
      <c r="N161" s="19">
        <f t="shared" si="36"/>
        <v>3782919000000</v>
      </c>
      <c r="O161" s="19">
        <f t="shared" si="42"/>
        <v>-716196000000</v>
      </c>
    </row>
    <row r="162" spans="1:15" ht="15.5" x14ac:dyDescent="0.35">
      <c r="A162" s="1">
        <v>166</v>
      </c>
      <c r="B162" s="2" t="s">
        <v>90</v>
      </c>
      <c r="C162" s="25">
        <v>2017</v>
      </c>
      <c r="D162" s="44">
        <v>82297010000000</v>
      </c>
      <c r="E162" s="44">
        <v>48601374000000</v>
      </c>
      <c r="F162" s="44">
        <v>26078358000000</v>
      </c>
      <c r="G162" s="44">
        <v>22363000000</v>
      </c>
      <c r="H162" s="44">
        <v>26100721000000</v>
      </c>
      <c r="I162" s="44">
        <v>69232394000000</v>
      </c>
      <c r="J162" s="44">
        <v>63952737000000</v>
      </c>
      <c r="K162" s="44">
        <v>874347000000</v>
      </c>
      <c r="L162" s="39">
        <f t="shared" si="34"/>
        <v>7594915000000</v>
      </c>
      <c r="M162" s="35">
        <f t="shared" si="35"/>
        <v>4405310000000</v>
      </c>
      <c r="N162" s="19">
        <f t="shared" si="36"/>
        <v>3189605000000</v>
      </c>
      <c r="O162" s="9"/>
    </row>
    <row r="163" spans="1:15" ht="15.5" x14ac:dyDescent="0.35">
      <c r="A163" s="1">
        <v>167</v>
      </c>
      <c r="B163" s="2"/>
      <c r="C163" s="25">
        <v>2018</v>
      </c>
      <c r="D163" s="44">
        <v>83761946000000</v>
      </c>
      <c r="E163" s="44">
        <v>50745355000000</v>
      </c>
      <c r="F163" s="44">
        <v>24808982000000</v>
      </c>
      <c r="G163" s="44">
        <v>11391000000</v>
      </c>
      <c r="H163" s="44">
        <v>24820373000000</v>
      </c>
      <c r="I163" s="44">
        <v>69979237000000</v>
      </c>
      <c r="J163" s="44">
        <v>63994791000000</v>
      </c>
      <c r="K163" s="44">
        <v>702418000000</v>
      </c>
      <c r="L163" s="39">
        <f t="shared" si="34"/>
        <v>8196218000000</v>
      </c>
      <c r="M163" s="35">
        <f t="shared" si="35"/>
        <v>5282028000000</v>
      </c>
      <c r="N163" s="19">
        <f t="shared" si="36"/>
        <v>2914190000000</v>
      </c>
      <c r="O163" s="19">
        <f>N163-N162</f>
        <v>-275415000000</v>
      </c>
    </row>
    <row r="164" spans="1:15" ht="15.5" x14ac:dyDescent="0.35">
      <c r="A164" s="1">
        <v>168</v>
      </c>
      <c r="B164" s="2"/>
      <c r="C164" s="25">
        <v>2019</v>
      </c>
      <c r="D164" s="44">
        <v>100803831000000</v>
      </c>
      <c r="E164" s="44">
        <v>67215654000000</v>
      </c>
      <c r="F164" s="44">
        <v>25093343000000</v>
      </c>
      <c r="G164" s="44">
        <v>23760000000</v>
      </c>
      <c r="H164" s="44">
        <v>25117103000000</v>
      </c>
      <c r="I164" s="44">
        <v>85262393000000</v>
      </c>
      <c r="J164" s="44">
        <v>79233885000000</v>
      </c>
      <c r="K164" s="44">
        <v>687759000000</v>
      </c>
      <c r="L164" s="39">
        <f t="shared" si="34"/>
        <v>8471074000000</v>
      </c>
      <c r="M164" s="35">
        <f t="shared" si="35"/>
        <v>5340749000000</v>
      </c>
      <c r="N164" s="19">
        <f t="shared" si="36"/>
        <v>3130325000000</v>
      </c>
      <c r="O164" s="19">
        <f t="shared" ref="O164:O166" si="43">N164-N163</f>
        <v>216135000000</v>
      </c>
    </row>
    <row r="165" spans="1:15" ht="15.5" x14ac:dyDescent="0.35">
      <c r="A165" s="1">
        <v>169</v>
      </c>
      <c r="B165" s="2"/>
      <c r="C165" s="25">
        <v>2020</v>
      </c>
      <c r="D165" s="44">
        <v>112202653000000</v>
      </c>
      <c r="E165" s="44">
        <v>56487998000000</v>
      </c>
      <c r="F165" s="44">
        <v>46384873000000</v>
      </c>
      <c r="G165" s="44">
        <v>151363000000</v>
      </c>
      <c r="H165" s="44">
        <v>46536236000000</v>
      </c>
      <c r="I165" s="44">
        <v>93994503000000</v>
      </c>
      <c r="J165" s="44">
        <v>73751996000000</v>
      </c>
      <c r="K165" s="44">
        <v>992786000000</v>
      </c>
      <c r="L165" s="39">
        <f t="shared" si="34"/>
        <v>9178419000000</v>
      </c>
      <c r="M165" s="35">
        <f t="shared" si="35"/>
        <v>19249721000000</v>
      </c>
      <c r="N165" s="19">
        <f t="shared" si="36"/>
        <v>-10071302000000</v>
      </c>
      <c r="O165" s="19">
        <f t="shared" si="43"/>
        <v>-13201627000000</v>
      </c>
    </row>
    <row r="166" spans="1:15" ht="15.5" x14ac:dyDescent="0.35">
      <c r="A166" s="1">
        <v>170</v>
      </c>
      <c r="B166" s="2"/>
      <c r="C166" s="25">
        <v>2021</v>
      </c>
      <c r="D166" s="44">
        <v>132879390000000</v>
      </c>
      <c r="E166" s="44">
        <v>78336337000000</v>
      </c>
      <c r="F166" s="44">
        <v>45473587000000</v>
      </c>
      <c r="G166" s="44">
        <v>191470000000</v>
      </c>
      <c r="H166" s="44">
        <v>45665057000000</v>
      </c>
      <c r="I166" s="44">
        <v>113734926000000</v>
      </c>
      <c r="J166" s="44">
        <v>101340288000000</v>
      </c>
      <c r="K166" s="44">
        <v>860873000000</v>
      </c>
      <c r="L166" s="39">
        <f t="shared" si="34"/>
        <v>8877996000000</v>
      </c>
      <c r="M166" s="35">
        <f t="shared" si="35"/>
        <v>11533765000000</v>
      </c>
      <c r="N166" s="19">
        <f t="shared" si="36"/>
        <v>-2655769000000</v>
      </c>
      <c r="O166" s="19">
        <f t="shared" si="43"/>
        <v>7415533000000</v>
      </c>
    </row>
    <row r="167" spans="1:15" ht="15.5" x14ac:dyDescent="0.35">
      <c r="A167" s="1">
        <v>171</v>
      </c>
      <c r="B167" s="2" t="s">
        <v>91</v>
      </c>
      <c r="C167" s="25">
        <v>2017</v>
      </c>
      <c r="D167" s="44">
        <v>3034342412000</v>
      </c>
      <c r="E167" s="44">
        <v>2934949092000</v>
      </c>
      <c r="F167" s="44">
        <v>43060375000</v>
      </c>
      <c r="G167" s="44">
        <v>480501000</v>
      </c>
      <c r="H167" s="44">
        <v>43540876000</v>
      </c>
      <c r="I167" s="44">
        <v>2458396045000</v>
      </c>
      <c r="J167" s="44">
        <v>1944912855000</v>
      </c>
      <c r="K167" s="44">
        <v>437000000000</v>
      </c>
      <c r="L167" s="39">
        <f t="shared" si="34"/>
        <v>55852444000</v>
      </c>
      <c r="M167" s="35">
        <f t="shared" si="35"/>
        <v>76483190000</v>
      </c>
      <c r="N167" s="19">
        <f t="shared" si="36"/>
        <v>-20630746000</v>
      </c>
      <c r="O167" s="9"/>
    </row>
    <row r="168" spans="1:15" ht="15.5" x14ac:dyDescent="0.35">
      <c r="A168" s="1">
        <v>172</v>
      </c>
      <c r="B168" s="2"/>
      <c r="C168" s="25">
        <v>2018</v>
      </c>
      <c r="D168" s="44">
        <v>2468609628000</v>
      </c>
      <c r="E168" s="44">
        <v>2272497559000</v>
      </c>
      <c r="F168" s="44">
        <v>149922804000</v>
      </c>
      <c r="G168" s="44">
        <v>477698000</v>
      </c>
      <c r="H168" s="44">
        <v>150400502000</v>
      </c>
      <c r="I168" s="44">
        <v>1840045168000</v>
      </c>
      <c r="J168" s="44">
        <v>1218053230000</v>
      </c>
      <c r="K168" s="44">
        <v>249851394000</v>
      </c>
      <c r="L168" s="39">
        <f t="shared" si="34"/>
        <v>45711567000</v>
      </c>
      <c r="M168" s="35">
        <f t="shared" si="35"/>
        <v>372140544000</v>
      </c>
      <c r="N168" s="19">
        <f t="shared" si="36"/>
        <v>-326428977000</v>
      </c>
      <c r="O168" s="19">
        <f>N168-N167</f>
        <v>-305798231000</v>
      </c>
    </row>
    <row r="169" spans="1:15" ht="15.5" x14ac:dyDescent="0.35">
      <c r="A169" s="1">
        <v>173</v>
      </c>
      <c r="B169" s="2"/>
      <c r="C169" s="25">
        <v>2019</v>
      </c>
      <c r="D169" s="44">
        <v>3050556600000</v>
      </c>
      <c r="E169" s="44">
        <v>2657359412000</v>
      </c>
      <c r="F169" s="44">
        <v>344783013000</v>
      </c>
      <c r="G169" s="44">
        <v>2852226000</v>
      </c>
      <c r="H169" s="44">
        <v>347635239000</v>
      </c>
      <c r="I169" s="44">
        <v>2193136067000</v>
      </c>
      <c r="J169" s="44">
        <v>1597901424000</v>
      </c>
      <c r="K169" s="44">
        <v>504729423000</v>
      </c>
      <c r="L169" s="39">
        <f t="shared" si="34"/>
        <v>45561949000</v>
      </c>
      <c r="M169" s="35">
        <f t="shared" si="35"/>
        <v>90505220000</v>
      </c>
      <c r="N169" s="19">
        <f t="shared" si="36"/>
        <v>-44943271000</v>
      </c>
      <c r="O169" s="19">
        <f t="shared" ref="O169:O171" si="44">N169-N168</f>
        <v>281485706000</v>
      </c>
    </row>
    <row r="170" spans="1:15" ht="15.5" x14ac:dyDescent="0.35">
      <c r="A170" s="1">
        <v>174</v>
      </c>
      <c r="B170" s="2"/>
      <c r="C170" s="25">
        <v>2020</v>
      </c>
      <c r="D170" s="44">
        <v>2676388593000</v>
      </c>
      <c r="E170" s="44">
        <v>2294407680000</v>
      </c>
      <c r="F170" s="44">
        <v>274268120000</v>
      </c>
      <c r="G170" s="44">
        <v>1146378000</v>
      </c>
      <c r="H170" s="44">
        <v>275414498000</v>
      </c>
      <c r="I170" s="44">
        <v>1854045110000</v>
      </c>
      <c r="J170" s="44">
        <v>1219841194000</v>
      </c>
      <c r="K170" s="44">
        <v>250182122000</v>
      </c>
      <c r="L170" s="39">
        <f t="shared" si="34"/>
        <v>106566415000</v>
      </c>
      <c r="M170" s="35">
        <f t="shared" si="35"/>
        <v>384021794000</v>
      </c>
      <c r="N170" s="19">
        <f t="shared" si="36"/>
        <v>-277455379000</v>
      </c>
      <c r="O170" s="19">
        <f t="shared" si="44"/>
        <v>-232512108000</v>
      </c>
    </row>
    <row r="171" spans="1:15" ht="15.5" x14ac:dyDescent="0.35">
      <c r="A171" s="1">
        <v>175</v>
      </c>
      <c r="B171" s="2"/>
      <c r="C171" s="25">
        <v>2021</v>
      </c>
      <c r="D171" s="44">
        <v>1819841840000</v>
      </c>
      <c r="E171" s="44">
        <v>1427362583000</v>
      </c>
      <c r="F171" s="44">
        <v>291099683000</v>
      </c>
      <c r="G171" s="44">
        <v>2731799000</v>
      </c>
      <c r="H171" s="44">
        <v>293831482000</v>
      </c>
      <c r="I171" s="44">
        <v>942670369000</v>
      </c>
      <c r="J171" s="44">
        <v>466785222000</v>
      </c>
      <c r="K171" s="44">
        <v>122212976000</v>
      </c>
      <c r="L171" s="39">
        <f t="shared" si="34"/>
        <v>98647775000</v>
      </c>
      <c r="M171" s="35">
        <f t="shared" si="35"/>
        <v>353672171000</v>
      </c>
      <c r="N171" s="19">
        <f t="shared" si="36"/>
        <v>-255024396000</v>
      </c>
      <c r="O171" s="19">
        <f t="shared" si="44"/>
        <v>22430983000</v>
      </c>
    </row>
    <row r="172" spans="1:15" ht="15.5" x14ac:dyDescent="0.35">
      <c r="A172" s="1">
        <v>176</v>
      </c>
      <c r="B172" s="2" t="s">
        <v>92</v>
      </c>
      <c r="C172" s="25">
        <v>2017</v>
      </c>
      <c r="D172" s="44">
        <v>153773957000000</v>
      </c>
      <c r="E172" s="44">
        <v>122306485000000</v>
      </c>
      <c r="F172" s="44">
        <v>26812779000000</v>
      </c>
      <c r="G172" s="44">
        <v>35413000000</v>
      </c>
      <c r="H172" s="44">
        <v>26848192000000</v>
      </c>
      <c r="I172" s="44">
        <v>131989603000000</v>
      </c>
      <c r="J172" s="44">
        <v>119077939000000</v>
      </c>
      <c r="K172" s="44">
        <v>0</v>
      </c>
      <c r="L172" s="39">
        <f t="shared" si="34"/>
        <v>4619280000000</v>
      </c>
      <c r="M172" s="35">
        <f t="shared" si="35"/>
        <v>12911664000000</v>
      </c>
      <c r="N172" s="19">
        <f t="shared" si="36"/>
        <v>-8292384000000</v>
      </c>
      <c r="O172" s="9"/>
    </row>
    <row r="173" spans="1:15" x14ac:dyDescent="0.35">
      <c r="A173" s="1">
        <v>177</v>
      </c>
      <c r="B173" s="9"/>
      <c r="C173" s="25">
        <v>2018</v>
      </c>
      <c r="D173" s="44">
        <v>173582894000000</v>
      </c>
      <c r="E173" s="44">
        <v>135375316000000</v>
      </c>
      <c r="F173" s="44">
        <v>32198245000000</v>
      </c>
      <c r="G173" s="44">
        <v>30659000000</v>
      </c>
      <c r="H173" s="44">
        <v>32228904000000</v>
      </c>
      <c r="I173" s="44">
        <v>149154640000000</v>
      </c>
      <c r="J173" s="44">
        <v>127028315000000</v>
      </c>
      <c r="K173" s="44">
        <v>2123256000000</v>
      </c>
      <c r="L173" s="39">
        <f t="shared" si="34"/>
        <v>5978674000000</v>
      </c>
      <c r="M173" s="35">
        <f t="shared" si="35"/>
        <v>20003069000000</v>
      </c>
      <c r="N173" s="19">
        <f t="shared" si="36"/>
        <v>-14024395000000</v>
      </c>
      <c r="O173" s="19">
        <f>N173-N172</f>
        <v>-5732011000000</v>
      </c>
    </row>
    <row r="174" spans="1:15" x14ac:dyDescent="0.35">
      <c r="A174" s="1">
        <v>178</v>
      </c>
      <c r="B174" s="9"/>
      <c r="C174" s="25">
        <v>2019</v>
      </c>
      <c r="D174" s="44">
        <v>180706987000000</v>
      </c>
      <c r="E174" s="44">
        <v>141590965000000</v>
      </c>
      <c r="F174" s="44">
        <v>32942257000000</v>
      </c>
      <c r="G174" s="44">
        <v>41702000000</v>
      </c>
      <c r="H174" s="44">
        <v>32983959000000</v>
      </c>
      <c r="I174" s="44">
        <v>153042184000000</v>
      </c>
      <c r="J174" s="44">
        <v>133572426000000</v>
      </c>
      <c r="K174" s="44">
        <v>2121413000000</v>
      </c>
      <c r="L174" s="39">
        <f t="shared" si="34"/>
        <v>6132063000000</v>
      </c>
      <c r="M174" s="35">
        <f t="shared" si="35"/>
        <v>17348345000000</v>
      </c>
      <c r="N174" s="19">
        <f t="shared" si="36"/>
        <v>-11216282000000</v>
      </c>
      <c r="O174" s="19">
        <f t="shared" ref="O174:O176" si="45">N174-N173</f>
        <v>2808113000000</v>
      </c>
    </row>
    <row r="175" spans="1:15" x14ac:dyDescent="0.35">
      <c r="A175" s="1">
        <v>179</v>
      </c>
      <c r="B175" s="9"/>
      <c r="C175" s="25">
        <v>2020</v>
      </c>
      <c r="D175" s="44">
        <v>206297200000000</v>
      </c>
      <c r="E175" s="44">
        <v>126041206000000</v>
      </c>
      <c r="F175" s="44">
        <v>73377168000000</v>
      </c>
      <c r="G175" s="44">
        <v>326537000000</v>
      </c>
      <c r="H175" s="44">
        <v>73703705000000</v>
      </c>
      <c r="I175" s="44">
        <v>176467884000000</v>
      </c>
      <c r="J175" s="44">
        <v>163337477000000</v>
      </c>
      <c r="K175" s="44">
        <v>4849794000000</v>
      </c>
      <c r="L175" s="39">
        <f t="shared" si="34"/>
        <v>6552289000000</v>
      </c>
      <c r="M175" s="35">
        <f t="shared" si="35"/>
        <v>8280613000000</v>
      </c>
      <c r="N175" s="19">
        <f t="shared" si="36"/>
        <v>-1728324000000</v>
      </c>
      <c r="O175" s="19">
        <f t="shared" si="45"/>
        <v>9487958000000</v>
      </c>
    </row>
    <row r="176" spans="1:15" x14ac:dyDescent="0.35">
      <c r="A176" s="1">
        <v>180</v>
      </c>
      <c r="B176" s="9"/>
      <c r="C176" s="25">
        <v>2021</v>
      </c>
      <c r="D176" s="44">
        <v>214395608000000</v>
      </c>
      <c r="E176" s="44">
        <v>129969811000000</v>
      </c>
      <c r="F176" s="44">
        <v>76752123000000</v>
      </c>
      <c r="G176" s="44">
        <v>217593000000</v>
      </c>
      <c r="H176" s="44">
        <v>76969716000000</v>
      </c>
      <c r="I176" s="44">
        <v>182068037000000</v>
      </c>
      <c r="J176" s="44">
        <v>170122097000000</v>
      </c>
      <c r="K176" s="44">
        <v>4861081000000</v>
      </c>
      <c r="L176" s="39">
        <f t="shared" si="34"/>
        <v>7456081000000</v>
      </c>
      <c r="M176" s="35">
        <f t="shared" si="35"/>
        <v>7084859000000</v>
      </c>
      <c r="N176" s="19">
        <f t="shared" si="36"/>
        <v>371222000000</v>
      </c>
      <c r="O176" s="19">
        <f t="shared" si="45"/>
        <v>2099546000000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5279A-2D55-458B-AF3C-706D3B4F9B9E}">
  <dimension ref="A1:G176"/>
  <sheetViews>
    <sheetView workbookViewId="0">
      <selection activeCell="F3" sqref="F3"/>
    </sheetView>
  </sheetViews>
  <sheetFormatPr defaultRowHeight="14.5" x14ac:dyDescent="0.35"/>
  <cols>
    <col min="2" max="2" width="11.26953125" bestFit="1" customWidth="1"/>
    <col min="4" max="5" width="22" bestFit="1" customWidth="1"/>
    <col min="6" max="7" width="23.17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47</v>
      </c>
      <c r="E1" s="1" t="s">
        <v>45</v>
      </c>
      <c r="F1" s="1" t="s">
        <v>54</v>
      </c>
      <c r="G1" s="1" t="s">
        <v>55</v>
      </c>
    </row>
    <row r="2" spans="1:7" x14ac:dyDescent="0.35">
      <c r="A2" s="1">
        <v>1</v>
      </c>
      <c r="B2" s="1" t="s">
        <v>3</v>
      </c>
      <c r="C2" s="1">
        <v>2017</v>
      </c>
      <c r="D2" s="20">
        <f>NCO!F2</f>
        <v>170613115220</v>
      </c>
      <c r="E2" s="20">
        <f>NCO!I2</f>
        <v>234660000000</v>
      </c>
      <c r="F2" s="33">
        <f>D2-E2</f>
        <v>-64046884780</v>
      </c>
      <c r="G2" s="9"/>
    </row>
    <row r="3" spans="1:7" ht="15.5" x14ac:dyDescent="0.35">
      <c r="A3" s="1">
        <v>2</v>
      </c>
      <c r="B3" s="2" t="s">
        <v>3</v>
      </c>
      <c r="C3" s="1">
        <v>2018</v>
      </c>
      <c r="D3" s="20">
        <f>NCO!F3</f>
        <v>160955833563</v>
      </c>
      <c r="E3" s="20">
        <f>NCO!I3</f>
        <v>258810000000</v>
      </c>
      <c r="F3" s="33">
        <f t="shared" ref="F3:F66" si="0">D3-E3</f>
        <v>-97854166437</v>
      </c>
      <c r="G3" s="19">
        <f>F3-F2</f>
        <v>-33807281657</v>
      </c>
    </row>
    <row r="4" spans="1:7" ht="15.5" x14ac:dyDescent="0.35">
      <c r="A4" s="1">
        <v>3</v>
      </c>
      <c r="B4" s="2" t="s">
        <v>3</v>
      </c>
      <c r="C4" s="1">
        <v>2019</v>
      </c>
      <c r="D4" s="20">
        <f>NCO!F4</f>
        <v>76763750283</v>
      </c>
      <c r="E4" s="20">
        <f>NCO!I4</f>
        <v>238310000000</v>
      </c>
      <c r="F4" s="33">
        <f t="shared" si="0"/>
        <v>-161546249717</v>
      </c>
      <c r="G4" s="19">
        <f>F4-F3</f>
        <v>-63692083280</v>
      </c>
    </row>
    <row r="5" spans="1:7" ht="15.5" x14ac:dyDescent="0.35">
      <c r="A5" s="1">
        <v>4</v>
      </c>
      <c r="B5" s="2" t="s">
        <v>3</v>
      </c>
      <c r="C5" s="1">
        <v>2020</v>
      </c>
      <c r="D5" s="20">
        <f>NCO!F5</f>
        <v>98673273669</v>
      </c>
      <c r="E5" s="20">
        <f>NCO!I5</f>
        <v>156230000000</v>
      </c>
      <c r="F5" s="33">
        <f t="shared" si="0"/>
        <v>-57556726331</v>
      </c>
      <c r="G5" s="19">
        <f>F5-F4</f>
        <v>103989523386</v>
      </c>
    </row>
    <row r="6" spans="1:7" ht="15.5" x14ac:dyDescent="0.35">
      <c r="A6" s="1">
        <v>5</v>
      </c>
      <c r="B6" s="2" t="s">
        <v>3</v>
      </c>
      <c r="C6" s="1">
        <v>2021</v>
      </c>
      <c r="D6" s="20">
        <f>NCO!F6</f>
        <v>185282040833</v>
      </c>
      <c r="E6" s="20">
        <f>NCO!I6</f>
        <v>219400000000</v>
      </c>
      <c r="F6" s="33">
        <f t="shared" si="0"/>
        <v>-34117959167</v>
      </c>
      <c r="G6" s="19">
        <f>F6-F5</f>
        <v>23438767164</v>
      </c>
    </row>
    <row r="7" spans="1:7" ht="15.5" x14ac:dyDescent="0.35">
      <c r="A7" s="1">
        <v>6</v>
      </c>
      <c r="B7" s="2" t="s">
        <v>4</v>
      </c>
      <c r="C7" s="1">
        <v>2017</v>
      </c>
      <c r="D7" s="20">
        <f>NCO!F7</f>
        <v>533517793928</v>
      </c>
      <c r="E7" s="20">
        <f>NCO!I7</f>
        <v>403521972590</v>
      </c>
      <c r="F7" s="33">
        <f t="shared" si="0"/>
        <v>129995821338</v>
      </c>
      <c r="G7" s="9"/>
    </row>
    <row r="8" spans="1:7" x14ac:dyDescent="0.35">
      <c r="A8" s="1">
        <v>7</v>
      </c>
      <c r="B8" s="1" t="s">
        <v>4</v>
      </c>
      <c r="C8" s="1">
        <v>2018</v>
      </c>
      <c r="D8" s="20">
        <f>NCO!F8</f>
        <v>592283745811</v>
      </c>
      <c r="E8" s="20">
        <f>NCO!I8</f>
        <v>450272263738</v>
      </c>
      <c r="F8" s="33">
        <f t="shared" si="0"/>
        <v>142011482073</v>
      </c>
      <c r="G8" s="19">
        <f>F8-F7</f>
        <v>12015660735</v>
      </c>
    </row>
    <row r="9" spans="1:7" x14ac:dyDescent="0.35">
      <c r="A9" s="1">
        <v>8</v>
      </c>
      <c r="B9" s="1" t="s">
        <v>4</v>
      </c>
      <c r="C9" s="1">
        <v>2019</v>
      </c>
      <c r="D9" s="20">
        <f>NCO!F9</f>
        <v>593869589863</v>
      </c>
      <c r="E9" s="20">
        <f>NCO!I9</f>
        <v>445392630259</v>
      </c>
      <c r="F9" s="33">
        <f t="shared" si="0"/>
        <v>148476959604</v>
      </c>
      <c r="G9" s="19">
        <f t="shared" ref="G9:G11" si="1">F9-F8</f>
        <v>6465477531</v>
      </c>
    </row>
    <row r="10" spans="1:7" x14ac:dyDescent="0.35">
      <c r="A10" s="1">
        <v>9</v>
      </c>
      <c r="B10" s="1" t="s">
        <v>4</v>
      </c>
      <c r="C10" s="1">
        <v>2020</v>
      </c>
      <c r="D10" s="20">
        <f>NCO!F10</f>
        <v>384429667667</v>
      </c>
      <c r="E10" s="20">
        <f>NCO!I10</f>
        <v>547541424689</v>
      </c>
      <c r="F10" s="33">
        <f t="shared" si="0"/>
        <v>-163111757022</v>
      </c>
      <c r="G10" s="19">
        <f t="shared" si="1"/>
        <v>-311588716626</v>
      </c>
    </row>
    <row r="11" spans="1:7" x14ac:dyDescent="0.35">
      <c r="A11" s="1">
        <v>10</v>
      </c>
      <c r="B11" s="1" t="s">
        <v>4</v>
      </c>
      <c r="C11" s="1">
        <v>2021</v>
      </c>
      <c r="D11" s="20">
        <f>NCO!F11</f>
        <v>461141938897</v>
      </c>
      <c r="E11" s="20">
        <f>NCO!I11</f>
        <v>518209589004</v>
      </c>
      <c r="F11" s="33">
        <f t="shared" si="0"/>
        <v>-57067650107</v>
      </c>
      <c r="G11" s="19">
        <f t="shared" si="1"/>
        <v>106044106915</v>
      </c>
    </row>
    <row r="12" spans="1:7" x14ac:dyDescent="0.35">
      <c r="A12" s="1">
        <v>11</v>
      </c>
      <c r="B12" s="1" t="s">
        <v>5</v>
      </c>
      <c r="C12" s="1">
        <v>2017</v>
      </c>
      <c r="D12" s="20">
        <f>NCO!F12</f>
        <v>117291896000000</v>
      </c>
      <c r="E12" s="20">
        <f>NCO!I12</f>
        <v>584086818000000</v>
      </c>
      <c r="F12" s="33">
        <f t="shared" si="0"/>
        <v>-466794922000000</v>
      </c>
      <c r="G12" s="9"/>
    </row>
    <row r="13" spans="1:7" x14ac:dyDescent="0.35">
      <c r="A13" s="1">
        <v>12</v>
      </c>
      <c r="B13" s="1" t="s">
        <v>5</v>
      </c>
      <c r="C13" s="1">
        <v>2018</v>
      </c>
      <c r="D13" s="20">
        <f>NCO!F13</f>
        <v>119439595000000</v>
      </c>
      <c r="E13" s="20">
        <f>NCO!I13</f>
        <v>671237546000000</v>
      </c>
      <c r="F13" s="33">
        <f t="shared" si="0"/>
        <v>-551797951000000</v>
      </c>
      <c r="G13" s="19">
        <f>(F13-F12)</f>
        <v>-85003029000000</v>
      </c>
    </row>
    <row r="14" spans="1:7" x14ac:dyDescent="0.35">
      <c r="A14" s="1">
        <v>13</v>
      </c>
      <c r="B14" s="1" t="s">
        <v>5</v>
      </c>
      <c r="C14" s="1">
        <v>2019</v>
      </c>
      <c r="D14" s="20">
        <f>NCO!F14</f>
        <v>109125316000000</v>
      </c>
      <c r="E14" s="20">
        <f>NCO!I14</f>
        <v>688489442000000</v>
      </c>
      <c r="F14" s="33">
        <f t="shared" si="0"/>
        <v>-579364126000000</v>
      </c>
      <c r="G14" s="19">
        <f t="shared" ref="G14:G16" si="2">(F14-F13)</f>
        <v>-27566175000000</v>
      </c>
    </row>
    <row r="15" spans="1:7" x14ac:dyDescent="0.35">
      <c r="A15" s="1">
        <v>14</v>
      </c>
      <c r="B15" s="1" t="s">
        <v>5</v>
      </c>
      <c r="C15" s="1">
        <v>2020</v>
      </c>
      <c r="D15" s="20">
        <f>NCO!F15</f>
        <v>129825093000000</v>
      </c>
      <c r="E15" s="20">
        <f>NCO!I15</f>
        <v>746235663000000</v>
      </c>
      <c r="F15" s="33">
        <f t="shared" si="0"/>
        <v>-616410570000000</v>
      </c>
      <c r="G15" s="19">
        <f t="shared" si="2"/>
        <v>-37046444000000</v>
      </c>
    </row>
    <row r="16" spans="1:7" x14ac:dyDescent="0.35">
      <c r="A16" s="1">
        <v>15</v>
      </c>
      <c r="B16" s="1" t="s">
        <v>5</v>
      </c>
      <c r="C16" s="1">
        <v>2021</v>
      </c>
      <c r="D16" s="20">
        <f>NCO!F16</f>
        <v>168760429000000</v>
      </c>
      <c r="E16" s="20">
        <f>NCO!I16</f>
        <v>838317715000000</v>
      </c>
      <c r="F16" s="33">
        <f t="shared" si="0"/>
        <v>-669557286000000</v>
      </c>
      <c r="G16" s="19">
        <f t="shared" si="2"/>
        <v>-53146716000000</v>
      </c>
    </row>
    <row r="17" spans="1:7" x14ac:dyDescent="0.35">
      <c r="A17" s="1">
        <v>16</v>
      </c>
      <c r="B17" s="1" t="s">
        <v>6</v>
      </c>
      <c r="C17" s="1">
        <v>2017</v>
      </c>
      <c r="D17" s="20">
        <f>NCO!F17</f>
        <v>15890004000000</v>
      </c>
      <c r="E17" s="20">
        <f>NCO!I17</f>
        <v>223937463000000</v>
      </c>
      <c r="F17" s="33">
        <f t="shared" si="0"/>
        <v>-208047459000000</v>
      </c>
      <c r="G17" s="9"/>
    </row>
    <row r="18" spans="1:7" x14ac:dyDescent="0.35">
      <c r="A18" s="1">
        <v>17</v>
      </c>
      <c r="B18" s="1" t="s">
        <v>6</v>
      </c>
      <c r="C18" s="1">
        <v>2018</v>
      </c>
      <c r="D18" s="20">
        <f>NCO!F18</f>
        <v>15241623000000</v>
      </c>
      <c r="E18" s="20">
        <f>NCO!I18</f>
        <v>263784017000000</v>
      </c>
      <c r="F18" s="33">
        <f t="shared" si="0"/>
        <v>-248542394000000</v>
      </c>
      <c r="G18" s="19">
        <f>F18-F17</f>
        <v>-40494935000000</v>
      </c>
    </row>
    <row r="19" spans="1:7" x14ac:dyDescent="0.35">
      <c r="A19" s="1">
        <v>18</v>
      </c>
      <c r="B19" s="1" t="s">
        <v>6</v>
      </c>
      <c r="C19" s="1">
        <v>2019</v>
      </c>
      <c r="D19" s="20">
        <f>NCO!F19</f>
        <v>21013493000000</v>
      </c>
      <c r="E19" s="20">
        <f>NCO!I19</f>
        <v>269451682000000</v>
      </c>
      <c r="F19" s="33">
        <f t="shared" si="0"/>
        <v>-248438189000000</v>
      </c>
      <c r="G19" s="19">
        <f t="shared" ref="G19:G21" si="3">F19-F18</f>
        <v>104205000000</v>
      </c>
    </row>
    <row r="20" spans="1:7" x14ac:dyDescent="0.35">
      <c r="A20" s="1">
        <v>19</v>
      </c>
      <c r="B20" s="1" t="s">
        <v>6</v>
      </c>
      <c r="C20" s="1">
        <v>2020</v>
      </c>
      <c r="D20" s="20">
        <f>NCO!F20</f>
        <v>60446672000000</v>
      </c>
      <c r="E20" s="20">
        <f>NCO!I20</f>
        <v>321376142000000</v>
      </c>
      <c r="F20" s="33">
        <f t="shared" si="0"/>
        <v>-260929470000000</v>
      </c>
      <c r="G20" s="19">
        <f t="shared" si="3"/>
        <v>-12491281000000</v>
      </c>
    </row>
    <row r="21" spans="1:7" x14ac:dyDescent="0.35">
      <c r="A21" s="1">
        <v>20</v>
      </c>
      <c r="B21" s="1" t="s">
        <v>6</v>
      </c>
      <c r="C21" s="1">
        <v>2021</v>
      </c>
      <c r="D21" s="20">
        <f>NCO!F21</f>
        <v>49909528000000</v>
      </c>
      <c r="E21" s="20">
        <f>NCO!I21</f>
        <v>327693592000000</v>
      </c>
      <c r="F21" s="33">
        <f t="shared" si="0"/>
        <v>-277784064000000</v>
      </c>
      <c r="G21" s="19">
        <f t="shared" si="3"/>
        <v>-16854594000000</v>
      </c>
    </row>
    <row r="22" spans="1:7" x14ac:dyDescent="0.35">
      <c r="A22" s="1">
        <v>21</v>
      </c>
      <c r="B22" s="1" t="s">
        <v>7</v>
      </c>
      <c r="C22" s="1">
        <v>2017</v>
      </c>
      <c r="D22" s="20">
        <f>NCO!F22</f>
        <v>4275639000000</v>
      </c>
      <c r="E22" s="20">
        <f>NCO!I22</f>
        <v>14255743000000</v>
      </c>
      <c r="F22" s="33">
        <f t="shared" si="0"/>
        <v>-9980104000000</v>
      </c>
      <c r="G22" s="9"/>
    </row>
    <row r="23" spans="1:7" x14ac:dyDescent="0.35">
      <c r="A23" s="1">
        <v>22</v>
      </c>
      <c r="B23" s="1" t="s">
        <v>7</v>
      </c>
      <c r="C23" s="1">
        <v>2018</v>
      </c>
      <c r="D23" s="20">
        <f>NCO!F23</f>
        <v>4206002000000</v>
      </c>
      <c r="E23" s="20">
        <f>NCO!I23</f>
        <v>13015396000000</v>
      </c>
      <c r="F23" s="33">
        <f t="shared" si="0"/>
        <v>-8809394000000</v>
      </c>
      <c r="G23" s="19">
        <f>F23-F22</f>
        <v>1170710000000</v>
      </c>
    </row>
    <row r="24" spans="1:7" x14ac:dyDescent="0.35">
      <c r="A24" s="1">
        <v>23</v>
      </c>
      <c r="B24" s="1" t="s">
        <v>7</v>
      </c>
      <c r="C24" s="1">
        <v>2019</v>
      </c>
      <c r="D24" s="20">
        <f>NCO!F24</f>
        <v>4021806000000</v>
      </c>
      <c r="E24" s="20">
        <f>NCO!I24</f>
        <v>12839026000000</v>
      </c>
      <c r="F24" s="33">
        <f t="shared" si="0"/>
        <v>-8817220000000</v>
      </c>
      <c r="G24" s="19">
        <f t="shared" ref="G24:G26" si="4">F24-F23</f>
        <v>-7826000000</v>
      </c>
    </row>
    <row r="25" spans="1:7" x14ac:dyDescent="0.35">
      <c r="A25" s="1">
        <v>24</v>
      </c>
      <c r="B25" s="1" t="s">
        <v>7</v>
      </c>
      <c r="C25" s="1">
        <v>2020</v>
      </c>
      <c r="D25" s="20">
        <f>NCO!F25</f>
        <v>4045078000000</v>
      </c>
      <c r="E25" s="20">
        <f>NCO!I25</f>
        <v>14007712000000</v>
      </c>
      <c r="F25" s="33">
        <f t="shared" si="0"/>
        <v>-9962634000000</v>
      </c>
      <c r="G25" s="19">
        <f t="shared" si="4"/>
        <v>-1145414000000</v>
      </c>
    </row>
    <row r="26" spans="1:7" x14ac:dyDescent="0.35">
      <c r="A26" s="1">
        <v>25</v>
      </c>
      <c r="B26" s="1" t="s">
        <v>7</v>
      </c>
      <c r="C26" s="1">
        <v>2021</v>
      </c>
      <c r="D26" s="20">
        <f>NCO!F26</f>
        <v>4582657000000</v>
      </c>
      <c r="E26" s="20">
        <f>NCO!I26</f>
        <v>15646157000000</v>
      </c>
      <c r="F26" s="33">
        <f t="shared" si="0"/>
        <v>-11063500000000</v>
      </c>
      <c r="G26" s="19">
        <f t="shared" si="4"/>
        <v>-1100866000000</v>
      </c>
    </row>
    <row r="27" spans="1:7" x14ac:dyDescent="0.35">
      <c r="A27" s="1">
        <v>26</v>
      </c>
      <c r="B27" s="1" t="s">
        <v>8</v>
      </c>
      <c r="C27" s="1">
        <v>2017</v>
      </c>
      <c r="D27" s="20">
        <f>NCO!F27</f>
        <v>27452702000000</v>
      </c>
      <c r="E27" s="20">
        <f>NCO!I27</f>
        <v>139084940000000</v>
      </c>
      <c r="F27" s="33">
        <f t="shared" si="0"/>
        <v>-111632238000000</v>
      </c>
      <c r="G27" s="9"/>
    </row>
    <row r="28" spans="1:7" x14ac:dyDescent="0.35">
      <c r="A28" s="1">
        <v>27</v>
      </c>
      <c r="B28" s="1" t="s">
        <v>8</v>
      </c>
      <c r="C28" s="1">
        <v>2018</v>
      </c>
      <c r="D28" s="20">
        <f>NCO!F28</f>
        <v>20248157000000</v>
      </c>
      <c r="E28" s="20">
        <f>NCO!I28</f>
        <v>144822368000000</v>
      </c>
      <c r="F28" s="33">
        <f t="shared" si="0"/>
        <v>-124574211000000</v>
      </c>
      <c r="G28" s="19">
        <f>F28-F27</f>
        <v>-12941973000000</v>
      </c>
    </row>
    <row r="29" spans="1:7" x14ac:dyDescent="0.35">
      <c r="A29" s="1">
        <v>28</v>
      </c>
      <c r="B29" s="1" t="s">
        <v>8</v>
      </c>
      <c r="C29" s="1">
        <v>2019</v>
      </c>
      <c r="D29" s="20">
        <f>NCO!F29</f>
        <v>28389887000000</v>
      </c>
      <c r="E29" s="20">
        <f>NCO!I29</f>
        <v>148116943000000</v>
      </c>
      <c r="F29" s="33">
        <f t="shared" si="0"/>
        <v>-119727056000000</v>
      </c>
      <c r="G29" s="19">
        <f t="shared" ref="G29:G31" si="5">F29-F28</f>
        <v>4847155000000</v>
      </c>
    </row>
    <row r="30" spans="1:7" x14ac:dyDescent="0.35">
      <c r="A30" s="1">
        <v>29</v>
      </c>
      <c r="B30" s="1" t="s">
        <v>8</v>
      </c>
      <c r="C30" s="1">
        <v>2020</v>
      </c>
      <c r="D30" s="20">
        <f>NCO!F30</f>
        <v>43382056000000</v>
      </c>
      <c r="E30" s="20">
        <f>NCO!I30</f>
        <v>157314569000000</v>
      </c>
      <c r="F30" s="33">
        <f t="shared" si="0"/>
        <v>-113932513000000</v>
      </c>
      <c r="G30" s="19">
        <f t="shared" si="5"/>
        <v>5794543000000</v>
      </c>
    </row>
    <row r="31" spans="1:7" x14ac:dyDescent="0.35">
      <c r="A31" s="1">
        <v>30</v>
      </c>
      <c r="B31" s="1" t="s">
        <v>8</v>
      </c>
      <c r="C31" s="1">
        <v>2021</v>
      </c>
      <c r="D31" s="20">
        <f>NCO!F31</f>
        <v>36882867000000</v>
      </c>
      <c r="E31" s="20">
        <f>NCO!I31</f>
        <v>147156640000000</v>
      </c>
      <c r="F31" s="33">
        <f t="shared" si="0"/>
        <v>-110273773000000</v>
      </c>
      <c r="G31" s="19">
        <f t="shared" si="5"/>
        <v>3658740000000</v>
      </c>
    </row>
    <row r="32" spans="1:7" x14ac:dyDescent="0.35">
      <c r="A32" s="1">
        <v>31</v>
      </c>
      <c r="B32" s="1" t="s">
        <v>9</v>
      </c>
      <c r="C32" s="1">
        <v>2017</v>
      </c>
      <c r="D32" s="20">
        <f>NCO!F32</f>
        <v>0</v>
      </c>
      <c r="E32" s="20">
        <f>NCO!I32</f>
        <v>11579007000000</v>
      </c>
      <c r="F32" s="33">
        <f>-(D32-E32)</f>
        <v>11579007000000</v>
      </c>
      <c r="G32" s="19"/>
    </row>
    <row r="33" spans="1:7" x14ac:dyDescent="0.35">
      <c r="A33" s="1">
        <v>32</v>
      </c>
      <c r="B33" s="1" t="s">
        <v>9</v>
      </c>
      <c r="C33" s="1">
        <v>2018</v>
      </c>
      <c r="D33" s="20">
        <f>NCO!F33</f>
        <v>0</v>
      </c>
      <c r="E33" s="20">
        <f>NCO!I33</f>
        <v>12913509000000</v>
      </c>
      <c r="F33" s="33">
        <f t="shared" ref="F33:F36" si="6">-(D33-E33)</f>
        <v>12913509000000</v>
      </c>
      <c r="G33" s="19">
        <f>F33-F32</f>
        <v>1334502000000</v>
      </c>
    </row>
    <row r="34" spans="1:7" x14ac:dyDescent="0.35">
      <c r="A34" s="1">
        <v>33</v>
      </c>
      <c r="B34" s="1" t="s">
        <v>9</v>
      </c>
      <c r="C34" s="1">
        <v>2019</v>
      </c>
      <c r="D34" s="20">
        <f>NCO!F34</f>
        <v>0</v>
      </c>
      <c r="E34" s="20">
        <f>NCO!I34</f>
        <v>13009453000000</v>
      </c>
      <c r="F34" s="33">
        <f t="shared" si="6"/>
        <v>13009453000000</v>
      </c>
      <c r="G34" s="19">
        <f t="shared" ref="G34:G36" si="7">F34-F33</f>
        <v>95944000000</v>
      </c>
    </row>
    <row r="35" spans="1:7" x14ac:dyDescent="0.35">
      <c r="A35" s="1">
        <v>34</v>
      </c>
      <c r="B35" s="1" t="s">
        <v>9</v>
      </c>
      <c r="C35" s="1">
        <v>2020</v>
      </c>
      <c r="D35" s="20">
        <f>NCO!F35</f>
        <v>0</v>
      </c>
      <c r="E35" s="20">
        <f>NCO!I35</f>
        <v>8594377000000</v>
      </c>
      <c r="F35" s="33">
        <f t="shared" si="6"/>
        <v>8594377000000</v>
      </c>
      <c r="G35" s="19">
        <f t="shared" si="7"/>
        <v>-4415076000000</v>
      </c>
    </row>
    <row r="36" spans="1:7" x14ac:dyDescent="0.35">
      <c r="A36" s="1">
        <v>35</v>
      </c>
      <c r="B36" s="1" t="s">
        <v>9</v>
      </c>
      <c r="C36" s="1">
        <v>2021</v>
      </c>
      <c r="D36" s="20">
        <f>NCO!F36</f>
        <v>0</v>
      </c>
      <c r="E36" s="20">
        <f>NCO!I36</f>
        <v>8205513000000</v>
      </c>
      <c r="F36" s="33">
        <f t="shared" si="6"/>
        <v>8205513000000</v>
      </c>
      <c r="G36" s="19">
        <f t="shared" si="7"/>
        <v>-388864000000</v>
      </c>
    </row>
    <row r="37" spans="1:7" x14ac:dyDescent="0.35">
      <c r="A37" s="1">
        <v>36</v>
      </c>
      <c r="B37" s="1" t="s">
        <v>10</v>
      </c>
      <c r="C37" s="1">
        <v>2017</v>
      </c>
      <c r="D37" s="20">
        <f>NCO!F37</f>
        <v>38417199000000</v>
      </c>
      <c r="E37" s="20">
        <f>NCO!I37</f>
        <v>229354449000000</v>
      </c>
      <c r="F37" s="33">
        <f t="shared" si="0"/>
        <v>-190937250000000</v>
      </c>
      <c r="G37" s="19"/>
    </row>
    <row r="38" spans="1:7" x14ac:dyDescent="0.35">
      <c r="A38" s="1">
        <v>37</v>
      </c>
      <c r="B38" s="1" t="s">
        <v>10</v>
      </c>
      <c r="C38" s="1">
        <v>2018</v>
      </c>
      <c r="D38" s="20">
        <f>NCO!F38</f>
        <v>35273249000000</v>
      </c>
      <c r="E38" s="20">
        <f>NCO!I38</f>
        <v>227200919000000</v>
      </c>
      <c r="F38" s="33">
        <f t="shared" si="0"/>
        <v>-191927670000000</v>
      </c>
      <c r="G38" s="19">
        <f>F38-F37</f>
        <v>-990420000000</v>
      </c>
    </row>
    <row r="39" spans="1:7" x14ac:dyDescent="0.35">
      <c r="A39" s="1">
        <v>38</v>
      </c>
      <c r="B39" s="1" t="s">
        <v>10</v>
      </c>
      <c r="C39" s="1">
        <v>2019</v>
      </c>
      <c r="D39" s="20">
        <f>NCO!F39</f>
        <v>34649484000000</v>
      </c>
      <c r="E39" s="20">
        <f>NCO!I39</f>
        <v>231173061000000</v>
      </c>
      <c r="F39" s="33">
        <f t="shared" si="0"/>
        <v>-196523577000000</v>
      </c>
      <c r="G39" s="19">
        <f t="shared" ref="G39:G41" si="8">F39-F38</f>
        <v>-4595907000000</v>
      </c>
    </row>
    <row r="40" spans="1:7" x14ac:dyDescent="0.35">
      <c r="A40" s="1">
        <v>39</v>
      </c>
      <c r="B40" s="1" t="s">
        <v>10</v>
      </c>
      <c r="C40" s="1">
        <v>2020</v>
      </c>
      <c r="D40" s="20">
        <f>NCO!F40</f>
        <v>67448167000000</v>
      </c>
      <c r="E40" s="20">
        <f>NCO!I40</f>
        <v>239890554000000</v>
      </c>
      <c r="F40" s="33">
        <f t="shared" si="0"/>
        <v>-172442387000000</v>
      </c>
      <c r="G40" s="19">
        <f t="shared" si="8"/>
        <v>24081190000000</v>
      </c>
    </row>
    <row r="41" spans="1:7" x14ac:dyDescent="0.35">
      <c r="A41" s="1">
        <v>40</v>
      </c>
      <c r="B41" s="1" t="s">
        <v>10</v>
      </c>
      <c r="C41" s="1">
        <v>2021</v>
      </c>
      <c r="D41" s="20">
        <f>NCO!F41</f>
        <v>72290001000000</v>
      </c>
      <c r="E41" s="20">
        <f>NCO!I41</f>
        <v>267398602000000</v>
      </c>
      <c r="F41" s="33">
        <f t="shared" si="0"/>
        <v>-195108601000000</v>
      </c>
      <c r="G41" s="19">
        <f t="shared" si="8"/>
        <v>-22666214000000</v>
      </c>
    </row>
    <row r="42" spans="1:7" x14ac:dyDescent="0.35">
      <c r="A42" s="1">
        <v>41</v>
      </c>
      <c r="B42" s="1" t="s">
        <v>11</v>
      </c>
      <c r="C42" s="1">
        <v>2017</v>
      </c>
      <c r="D42" s="20">
        <f>NCO!F42</f>
        <v>23508074000000</v>
      </c>
      <c r="E42" s="20">
        <f>NCO!I42</f>
        <v>152478451000000</v>
      </c>
      <c r="F42" s="33">
        <f>D42-E42</f>
        <v>-128970377000000</v>
      </c>
      <c r="G42" s="19"/>
    </row>
    <row r="43" spans="1:7" x14ac:dyDescent="0.35">
      <c r="A43" s="1">
        <v>42</v>
      </c>
      <c r="B43" s="1" t="s">
        <v>11</v>
      </c>
      <c r="C43" s="1">
        <v>2018</v>
      </c>
      <c r="D43" s="20">
        <f>NCO!F43</f>
        <v>16772474000000</v>
      </c>
      <c r="E43" s="20">
        <f>NCO!I43</f>
        <v>152442167000000</v>
      </c>
      <c r="F43" s="33">
        <f t="shared" si="0"/>
        <v>-135669693000000</v>
      </c>
      <c r="G43" s="19">
        <f>F43-F42</f>
        <v>-6699316000000</v>
      </c>
    </row>
    <row r="44" spans="1:7" x14ac:dyDescent="0.35">
      <c r="A44" s="1">
        <v>43</v>
      </c>
      <c r="B44" s="1" t="s">
        <v>11</v>
      </c>
      <c r="C44" s="1">
        <v>2019</v>
      </c>
      <c r="D44" s="20">
        <f>NCO!F44</f>
        <v>20563153000000</v>
      </c>
      <c r="E44" s="20">
        <f>NCO!I44</f>
        <v>142397914000000</v>
      </c>
      <c r="F44" s="33">
        <f t="shared" si="0"/>
        <v>-121834761000000</v>
      </c>
      <c r="G44" s="19">
        <f t="shared" ref="G44:G46" si="9">F44-F43</f>
        <v>13834932000000</v>
      </c>
    </row>
    <row r="45" spans="1:7" x14ac:dyDescent="0.35">
      <c r="A45" s="1">
        <v>44</v>
      </c>
      <c r="B45" s="1" t="s">
        <v>11</v>
      </c>
      <c r="C45" s="1">
        <v>2020</v>
      </c>
      <c r="D45" s="20">
        <f>NCO!F45</f>
        <v>36168025000000</v>
      </c>
      <c r="E45" s="20">
        <f>NCO!I45</f>
        <v>146000782000000</v>
      </c>
      <c r="F45" s="33">
        <f t="shared" si="0"/>
        <v>-109832757000000</v>
      </c>
      <c r="G45" s="19">
        <f t="shared" si="9"/>
        <v>12002004000000</v>
      </c>
    </row>
    <row r="46" spans="1:7" x14ac:dyDescent="0.35">
      <c r="A46" s="1">
        <v>45</v>
      </c>
      <c r="B46" s="1" t="s">
        <v>11</v>
      </c>
      <c r="C46" s="1">
        <v>2021</v>
      </c>
      <c r="D46" s="20">
        <f>NCO!F46</f>
        <v>34705036000000</v>
      </c>
      <c r="E46" s="20">
        <f>NCO!I46</f>
        <v>140033353000000</v>
      </c>
      <c r="F46" s="33">
        <f t="shared" si="0"/>
        <v>-105328317000000</v>
      </c>
      <c r="G46" s="19">
        <f t="shared" si="9"/>
        <v>4504440000000</v>
      </c>
    </row>
    <row r="47" spans="1:7" x14ac:dyDescent="0.35">
      <c r="A47" s="1">
        <v>46</v>
      </c>
      <c r="B47" s="1" t="s">
        <v>12</v>
      </c>
      <c r="C47" s="1">
        <v>2017</v>
      </c>
      <c r="D47" s="20">
        <f>NCO!F47</f>
        <v>23796953000000</v>
      </c>
      <c r="E47" s="20">
        <f>NCO!I47</f>
        <v>126817628000000</v>
      </c>
      <c r="F47" s="33">
        <f t="shared" si="0"/>
        <v>-103020675000000</v>
      </c>
      <c r="G47" s="19"/>
    </row>
    <row r="48" spans="1:7" x14ac:dyDescent="0.35">
      <c r="A48" s="1">
        <v>47</v>
      </c>
      <c r="B48" s="1" t="s">
        <v>12</v>
      </c>
      <c r="C48" s="1">
        <v>2018</v>
      </c>
      <c r="D48" s="20">
        <f>NCO!F48</f>
        <v>14989712000000</v>
      </c>
      <c r="E48" s="20">
        <f>NCO!I48</f>
        <v>130440930000000</v>
      </c>
      <c r="F48" s="33">
        <f t="shared" si="0"/>
        <v>-115451218000000</v>
      </c>
      <c r="G48" s="19">
        <f>F48-F47</f>
        <v>-12430543000000</v>
      </c>
    </row>
    <row r="49" spans="1:7" x14ac:dyDescent="0.35">
      <c r="A49" s="1">
        <v>48</v>
      </c>
      <c r="B49" s="1" t="s">
        <v>12</v>
      </c>
      <c r="C49" s="1">
        <v>2019</v>
      </c>
      <c r="D49" s="20">
        <f>NCO!F49</f>
        <v>17764442000000</v>
      </c>
      <c r="E49" s="20">
        <f>NCO!I49</f>
        <v>137413908000000</v>
      </c>
      <c r="F49" s="33">
        <f t="shared" si="0"/>
        <v>-119649466000000</v>
      </c>
      <c r="G49" s="19">
        <f t="shared" ref="G49:G51" si="10">F49-F48</f>
        <v>-4198248000000</v>
      </c>
    </row>
    <row r="50" spans="1:7" x14ac:dyDescent="0.35">
      <c r="A50" s="1">
        <v>49</v>
      </c>
      <c r="B50" s="1" t="s">
        <v>12</v>
      </c>
      <c r="C50" s="1">
        <v>2020</v>
      </c>
      <c r="D50" s="20">
        <f>NCO!F50</f>
        <v>45529439000000</v>
      </c>
      <c r="E50" s="20">
        <f>NCO!I50</f>
        <v>162654644000000</v>
      </c>
      <c r="F50" s="33">
        <f t="shared" si="0"/>
        <v>-117125205000000</v>
      </c>
      <c r="G50" s="19">
        <f t="shared" si="10"/>
        <v>2524261000000</v>
      </c>
    </row>
    <row r="51" spans="1:7" x14ac:dyDescent="0.35">
      <c r="A51" s="1">
        <v>50</v>
      </c>
      <c r="B51" s="1" t="s">
        <v>12</v>
      </c>
      <c r="C51" s="1">
        <v>2021</v>
      </c>
      <c r="D51" s="20">
        <f>NCO!F51</f>
        <v>55347803000000</v>
      </c>
      <c r="E51" s="20">
        <f>NCO!I51</f>
        <v>197765327000000</v>
      </c>
      <c r="F51" s="33">
        <f t="shared" si="0"/>
        <v>-142417524000000</v>
      </c>
      <c r="G51" s="19">
        <f t="shared" si="10"/>
        <v>-25292319000000</v>
      </c>
    </row>
    <row r="52" spans="1:7" x14ac:dyDescent="0.35">
      <c r="A52" s="1">
        <v>51</v>
      </c>
      <c r="B52" s="1" t="s">
        <v>13</v>
      </c>
      <c r="C52" s="1">
        <v>2017</v>
      </c>
      <c r="D52" s="20">
        <f>NCO!F52</f>
        <v>650000000</v>
      </c>
      <c r="E52" s="20">
        <f>NCO!I52</f>
        <v>23747518000000</v>
      </c>
      <c r="F52" s="33">
        <f t="shared" si="0"/>
        <v>-23746868000000</v>
      </c>
      <c r="G52" s="19"/>
    </row>
    <row r="53" spans="1:7" x14ac:dyDescent="0.35">
      <c r="A53" s="1">
        <v>52</v>
      </c>
      <c r="B53" s="1" t="s">
        <v>13</v>
      </c>
      <c r="C53" s="1">
        <v>2018</v>
      </c>
      <c r="D53" s="20">
        <f>NCO!F53</f>
        <v>650000000</v>
      </c>
      <c r="E53" s="20">
        <f>NCO!I53</f>
        <v>24468242000000</v>
      </c>
      <c r="F53" s="33">
        <f t="shared" si="0"/>
        <v>-24467592000000</v>
      </c>
      <c r="G53" s="19">
        <f>F53-F52</f>
        <v>-720724000000</v>
      </c>
    </row>
    <row r="54" spans="1:7" x14ac:dyDescent="0.35">
      <c r="A54" s="1">
        <v>53</v>
      </c>
      <c r="B54" s="1" t="s">
        <v>13</v>
      </c>
      <c r="C54" s="1">
        <v>2019</v>
      </c>
      <c r="D54" s="20">
        <f>NCO!F54</f>
        <v>650000000</v>
      </c>
      <c r="E54" s="20">
        <f>NCO!I54</f>
        <v>27038058000000</v>
      </c>
      <c r="F54" s="33">
        <f t="shared" si="0"/>
        <v>-27037408000000</v>
      </c>
      <c r="G54" s="19">
        <f t="shared" ref="G54:G56" si="11">F54-F53</f>
        <v>-2569816000000</v>
      </c>
    </row>
    <row r="55" spans="1:7" x14ac:dyDescent="0.35">
      <c r="A55" s="1">
        <v>54</v>
      </c>
      <c r="B55" s="1" t="s">
        <v>13</v>
      </c>
      <c r="C55" s="1">
        <v>2020</v>
      </c>
      <c r="D55" s="20">
        <f>NCO!F55</f>
        <v>650000000</v>
      </c>
      <c r="E55" s="20">
        <f>NCO!I55</f>
        <v>21305238000000</v>
      </c>
      <c r="F55" s="33">
        <f t="shared" si="0"/>
        <v>-21304588000000</v>
      </c>
      <c r="G55" s="19">
        <f t="shared" si="11"/>
        <v>5732820000000</v>
      </c>
    </row>
    <row r="56" spans="1:7" x14ac:dyDescent="0.35">
      <c r="A56" s="1">
        <v>55</v>
      </c>
      <c r="B56" s="1" t="s">
        <v>13</v>
      </c>
      <c r="C56" s="1">
        <v>2021</v>
      </c>
      <c r="D56" s="20">
        <f>NCO!F56</f>
        <v>650000000</v>
      </c>
      <c r="E56" s="20">
        <f>NCO!I56</f>
        <v>14838879000000</v>
      </c>
      <c r="F56" s="33">
        <f t="shared" si="0"/>
        <v>-14838229000000</v>
      </c>
      <c r="G56" s="19">
        <f t="shared" si="11"/>
        <v>6466359000000</v>
      </c>
    </row>
    <row r="57" spans="1:7" x14ac:dyDescent="0.35">
      <c r="A57" s="1">
        <v>56</v>
      </c>
      <c r="B57" s="1" t="s">
        <v>14</v>
      </c>
      <c r="C57" s="1">
        <v>2017</v>
      </c>
      <c r="D57" s="20">
        <f>NCO!F57</f>
        <v>7897783120000</v>
      </c>
      <c r="E57" s="20">
        <f>NCO!I57</f>
        <v>24483975280000</v>
      </c>
      <c r="F57" s="33">
        <f t="shared" si="0"/>
        <v>-16586192160000</v>
      </c>
      <c r="G57" s="19"/>
    </row>
    <row r="58" spans="1:7" x14ac:dyDescent="0.35">
      <c r="A58" s="1">
        <v>57</v>
      </c>
      <c r="B58" s="1" t="s">
        <v>14</v>
      </c>
      <c r="C58" s="1">
        <v>2018</v>
      </c>
      <c r="D58" s="20">
        <f>NCO!F58</f>
        <v>7724531838000</v>
      </c>
      <c r="E58" s="20">
        <f>NCO!I58</f>
        <v>25808570240000</v>
      </c>
      <c r="F58" s="33">
        <f t="shared" si="0"/>
        <v>-18084038402000</v>
      </c>
      <c r="G58" s="19">
        <f>F58-F57</f>
        <v>-1497846242000</v>
      </c>
    </row>
    <row r="59" spans="1:7" x14ac:dyDescent="0.35">
      <c r="A59" s="1">
        <v>58</v>
      </c>
      <c r="B59" s="1" t="s">
        <v>14</v>
      </c>
      <c r="C59" s="1">
        <v>2019</v>
      </c>
      <c r="D59" s="20">
        <f>NCO!F59</f>
        <v>7901239720891</v>
      </c>
      <c r="E59" s="20">
        <f>NCO!I59</f>
        <v>25782313852000</v>
      </c>
      <c r="F59" s="33">
        <f t="shared" si="0"/>
        <v>-17881074131109</v>
      </c>
      <c r="G59" s="19">
        <f t="shared" ref="G59:G61" si="12">F59-F58</f>
        <v>202964270891</v>
      </c>
    </row>
    <row r="60" spans="1:7" x14ac:dyDescent="0.35">
      <c r="A60" s="1">
        <v>59</v>
      </c>
      <c r="B60" s="1" t="s">
        <v>14</v>
      </c>
      <c r="C60" s="1">
        <v>2020</v>
      </c>
      <c r="D60" s="20">
        <f>NCO!F60</f>
        <v>6854475642000</v>
      </c>
      <c r="E60" s="20">
        <f>NCO!I60</f>
        <v>22197849857000</v>
      </c>
      <c r="F60" s="33">
        <f t="shared" si="0"/>
        <v>-15343374215000</v>
      </c>
      <c r="G60" s="19">
        <f t="shared" si="12"/>
        <v>2537699916109</v>
      </c>
    </row>
    <row r="61" spans="1:7" x14ac:dyDescent="0.35">
      <c r="A61" s="1">
        <v>60</v>
      </c>
      <c r="B61" s="1" t="s">
        <v>14</v>
      </c>
      <c r="C61" s="1">
        <v>2021</v>
      </c>
      <c r="D61" s="20">
        <f>NCO!F61</f>
        <v>5866201222000</v>
      </c>
      <c r="E61" s="20">
        <f>NCO!I61</f>
        <v>20702225559000</v>
      </c>
      <c r="F61" s="33">
        <f t="shared" si="0"/>
        <v>-14836024337000</v>
      </c>
      <c r="G61" s="19">
        <f t="shared" si="12"/>
        <v>507349878000</v>
      </c>
    </row>
    <row r="62" spans="1:7" x14ac:dyDescent="0.35">
      <c r="A62" s="1">
        <v>61</v>
      </c>
      <c r="B62" s="1" t="s">
        <v>15</v>
      </c>
      <c r="C62" s="1">
        <v>2017</v>
      </c>
      <c r="D62" s="20">
        <f>NCO!F62</f>
        <v>21303000000</v>
      </c>
      <c r="E62" s="20">
        <f>NCO!I62</f>
        <v>5861316507000</v>
      </c>
      <c r="F62" s="33">
        <f t="shared" si="0"/>
        <v>-5840013507000</v>
      </c>
      <c r="G62" s="19"/>
    </row>
    <row r="63" spans="1:7" x14ac:dyDescent="0.35">
      <c r="A63" s="1">
        <v>62</v>
      </c>
      <c r="B63" s="1" t="s">
        <v>15</v>
      </c>
      <c r="C63" s="1">
        <v>2018</v>
      </c>
      <c r="D63" s="20">
        <f>NCO!F63</f>
        <v>22849000000</v>
      </c>
      <c r="E63" s="20">
        <f>NCO!I63</f>
        <v>6729921689000</v>
      </c>
      <c r="F63" s="33">
        <f t="shared" si="0"/>
        <v>-6707072689000</v>
      </c>
      <c r="G63" s="19">
        <f>F63-F62</f>
        <v>-867059182000</v>
      </c>
    </row>
    <row r="64" spans="1:7" x14ac:dyDescent="0.35">
      <c r="A64" s="1">
        <v>63</v>
      </c>
      <c r="B64" s="1" t="s">
        <v>15</v>
      </c>
      <c r="C64" s="1">
        <v>2019</v>
      </c>
      <c r="D64" s="20">
        <f>NCO!F64</f>
        <v>12457000000</v>
      </c>
      <c r="E64" s="20">
        <f>NCO!I64</f>
        <v>7411804923000</v>
      </c>
      <c r="F64" s="33">
        <f t="shared" si="0"/>
        <v>-7399347923000</v>
      </c>
      <c r="G64" s="19">
        <f t="shared" ref="G64:G66" si="13">F64-F63</f>
        <v>-692275234000</v>
      </c>
    </row>
    <row r="65" spans="1:7" x14ac:dyDescent="0.35">
      <c r="A65" s="1">
        <v>64</v>
      </c>
      <c r="B65" s="1" t="s">
        <v>15</v>
      </c>
      <c r="C65" s="1">
        <v>2020</v>
      </c>
      <c r="D65" s="20">
        <f>NCO!F65</f>
        <v>12457000000</v>
      </c>
      <c r="E65" s="20">
        <f>NCO!I65</f>
        <v>6172266324000</v>
      </c>
      <c r="F65" s="33">
        <f t="shared" si="0"/>
        <v>-6159809324000</v>
      </c>
      <c r="G65" s="19">
        <f t="shared" si="13"/>
        <v>1239538599000</v>
      </c>
    </row>
    <row r="66" spans="1:7" x14ac:dyDescent="0.35">
      <c r="A66" s="1">
        <v>65</v>
      </c>
      <c r="B66" s="1" t="s">
        <v>15</v>
      </c>
      <c r="C66" s="1">
        <v>2021</v>
      </c>
      <c r="D66" s="20">
        <f>NCO!F66</f>
        <v>13224000000</v>
      </c>
      <c r="E66" s="20">
        <f>NCO!I66</f>
        <v>2317783818000</v>
      </c>
      <c r="F66" s="33">
        <f t="shared" si="0"/>
        <v>-2304559818000</v>
      </c>
      <c r="G66" s="19">
        <f t="shared" si="13"/>
        <v>3855249506000</v>
      </c>
    </row>
    <row r="67" spans="1:7" x14ac:dyDescent="0.35">
      <c r="A67" s="1">
        <v>66</v>
      </c>
      <c r="B67" s="1" t="s">
        <v>16</v>
      </c>
      <c r="C67" s="1">
        <v>2017</v>
      </c>
      <c r="D67" s="20">
        <f>NCO!F67</f>
        <v>13400000000</v>
      </c>
      <c r="E67" s="20">
        <f>NCO!I67</f>
        <v>3325880986000</v>
      </c>
      <c r="F67" s="33">
        <f t="shared" ref="F67:F130" si="14">D67-E67</f>
        <v>-3312480986000</v>
      </c>
      <c r="G67" s="9"/>
    </row>
    <row r="68" spans="1:7" x14ac:dyDescent="0.35">
      <c r="A68" s="1">
        <v>67</v>
      </c>
      <c r="B68" s="1" t="s">
        <v>16</v>
      </c>
      <c r="C68" s="1">
        <v>2018</v>
      </c>
      <c r="D68" s="20">
        <f>NCO!F68</f>
        <v>193200454000</v>
      </c>
      <c r="E68" s="20">
        <f>NCO!I68</f>
        <v>2028696565000</v>
      </c>
      <c r="F68" s="33">
        <f t="shared" si="14"/>
        <v>-1835496111000</v>
      </c>
      <c r="G68" s="19">
        <f>F68-F67</f>
        <v>1476984875000</v>
      </c>
    </row>
    <row r="69" spans="1:7" x14ac:dyDescent="0.35">
      <c r="A69" s="1">
        <v>68</v>
      </c>
      <c r="B69" s="1" t="s">
        <v>16</v>
      </c>
      <c r="C69" s="1">
        <v>2019</v>
      </c>
      <c r="D69" s="20">
        <f>NCO!F69</f>
        <v>52745444000</v>
      </c>
      <c r="E69" s="20">
        <f>NCO!I69</f>
        <v>597001340000</v>
      </c>
      <c r="F69" s="33">
        <f t="shared" si="14"/>
        <v>-544255896000</v>
      </c>
      <c r="G69" s="19">
        <f t="shared" ref="G69:G71" si="15">F69-F68</f>
        <v>1291240215000</v>
      </c>
    </row>
    <row r="70" spans="1:7" x14ac:dyDescent="0.35">
      <c r="A70" s="1">
        <v>69</v>
      </c>
      <c r="B70" s="1" t="s">
        <v>16</v>
      </c>
      <c r="C70" s="1">
        <v>2020</v>
      </c>
      <c r="D70" s="20">
        <f>NCO!F70</f>
        <v>22267157000</v>
      </c>
      <c r="E70" s="20">
        <f>NCO!I70</f>
        <v>265703138000</v>
      </c>
      <c r="F70" s="33">
        <f t="shared" si="14"/>
        <v>-243435981000</v>
      </c>
      <c r="G70" s="19">
        <f t="shared" si="15"/>
        <v>300819915000</v>
      </c>
    </row>
    <row r="71" spans="1:7" x14ac:dyDescent="0.35">
      <c r="A71" s="1">
        <v>70</v>
      </c>
      <c r="B71" s="1" t="s">
        <v>16</v>
      </c>
      <c r="C71" s="1">
        <v>2021</v>
      </c>
      <c r="D71" s="20">
        <f>NCO!F71</f>
        <v>12250000000</v>
      </c>
      <c r="E71" s="20">
        <f>NCO!I71</f>
        <v>650558755000</v>
      </c>
      <c r="F71" s="33">
        <f t="shared" si="14"/>
        <v>-638308755000</v>
      </c>
      <c r="G71" s="19">
        <f t="shared" si="15"/>
        <v>-394872774000</v>
      </c>
    </row>
    <row r="72" spans="1:7" x14ac:dyDescent="0.35">
      <c r="A72" s="1">
        <v>71</v>
      </c>
      <c r="B72" s="1" t="s">
        <v>17</v>
      </c>
      <c r="C72" s="1">
        <v>2017</v>
      </c>
      <c r="D72" s="20">
        <f>NCO!F72</f>
        <v>11753015000000</v>
      </c>
      <c r="E72" s="20">
        <f>NCO!I72</f>
        <v>66202194000000</v>
      </c>
      <c r="F72" s="33">
        <f t="shared" si="14"/>
        <v>-54449179000000</v>
      </c>
      <c r="G72" s="19"/>
    </row>
    <row r="73" spans="1:7" x14ac:dyDescent="0.35">
      <c r="A73" s="1">
        <v>72</v>
      </c>
      <c r="B73" s="1" t="s">
        <v>17</v>
      </c>
      <c r="C73" s="1">
        <v>2018</v>
      </c>
      <c r="D73" s="20">
        <f>NCO!F73</f>
        <v>9986003000000</v>
      </c>
      <c r="E73" s="20">
        <f>NCO!I73</f>
        <v>76183319000000</v>
      </c>
      <c r="F73" s="33">
        <f t="shared" si="14"/>
        <v>-66197316000000</v>
      </c>
      <c r="G73" s="19">
        <f>(F73-F72)</f>
        <v>-11748137000000</v>
      </c>
    </row>
    <row r="74" spans="1:7" x14ac:dyDescent="0.35">
      <c r="A74" s="1">
        <v>73</v>
      </c>
      <c r="B74" s="1" t="s">
        <v>17</v>
      </c>
      <c r="C74" s="1">
        <v>2019</v>
      </c>
      <c r="D74" s="20">
        <f>NCO!F74</f>
        <v>12612714000000</v>
      </c>
      <c r="E74" s="20">
        <f>NCO!I74</f>
        <v>81066862000000</v>
      </c>
      <c r="F74" s="33">
        <f t="shared" si="14"/>
        <v>-68454148000000</v>
      </c>
      <c r="G74" s="19">
        <f t="shared" ref="G74:G76" si="16">(F74-F73)</f>
        <v>-2256832000000</v>
      </c>
    </row>
    <row r="75" spans="1:7" x14ac:dyDescent="0.35">
      <c r="A75" s="1">
        <v>74</v>
      </c>
      <c r="B75" s="1" t="s">
        <v>17</v>
      </c>
      <c r="C75" s="1">
        <v>2020</v>
      </c>
      <c r="D75" s="20">
        <f>NCO!F75</f>
        <v>4947062000000</v>
      </c>
      <c r="E75" s="20">
        <f>NCO!I75</f>
        <v>79603549000000</v>
      </c>
      <c r="F75" s="33">
        <f t="shared" si="14"/>
        <v>-74656487000000</v>
      </c>
      <c r="G75" s="19">
        <f t="shared" si="16"/>
        <v>-6202339000000</v>
      </c>
    </row>
    <row r="76" spans="1:7" x14ac:dyDescent="0.35">
      <c r="A76" s="1">
        <v>75</v>
      </c>
      <c r="B76" s="1" t="s">
        <v>17</v>
      </c>
      <c r="C76" s="1">
        <v>2021</v>
      </c>
      <c r="D76" s="20">
        <f>NCO!F76</f>
        <v>15378376000000</v>
      </c>
      <c r="E76" s="20">
        <f>NCO!I76</f>
        <v>105125905000000</v>
      </c>
      <c r="F76" s="33">
        <f t="shared" si="14"/>
        <v>-89747529000000</v>
      </c>
      <c r="G76" s="19">
        <f t="shared" si="16"/>
        <v>-15091042000000</v>
      </c>
    </row>
    <row r="77" spans="1:7" x14ac:dyDescent="0.35">
      <c r="A77" s="1">
        <v>76</v>
      </c>
      <c r="B77" s="1" t="s">
        <v>18</v>
      </c>
      <c r="C77" s="1">
        <v>2017</v>
      </c>
      <c r="D77" s="20">
        <f>NCO!F77</f>
        <v>378720208171</v>
      </c>
      <c r="E77" s="20">
        <f>NCO!I77</f>
        <v>22758936367</v>
      </c>
      <c r="F77" s="33">
        <f t="shared" si="14"/>
        <v>355961271804</v>
      </c>
      <c r="G77" s="19"/>
    </row>
    <row r="78" spans="1:7" x14ac:dyDescent="0.35">
      <c r="A78" s="1">
        <v>77</v>
      </c>
      <c r="B78" s="1" t="s">
        <v>18</v>
      </c>
      <c r="C78" s="1">
        <v>2018</v>
      </c>
      <c r="D78" s="20">
        <f>NCO!F78</f>
        <v>467511435311</v>
      </c>
      <c r="E78" s="20">
        <f>NCO!I78</f>
        <v>19272423025</v>
      </c>
      <c r="F78" s="33">
        <f t="shared" si="14"/>
        <v>448239012286</v>
      </c>
      <c r="G78" s="19">
        <f>F78-F77</f>
        <v>92277740482</v>
      </c>
    </row>
    <row r="79" spans="1:7" x14ac:dyDescent="0.35">
      <c r="A79" s="1">
        <v>78</v>
      </c>
      <c r="B79" s="1" t="s">
        <v>18</v>
      </c>
      <c r="C79" s="1">
        <v>2019</v>
      </c>
      <c r="D79" s="20">
        <f>NCO!F79</f>
        <v>368319329897</v>
      </c>
      <c r="E79" s="20">
        <f>NCO!I79</f>
        <v>35709910993</v>
      </c>
      <c r="F79" s="33">
        <f t="shared" si="14"/>
        <v>332609418904</v>
      </c>
      <c r="G79" s="19">
        <f t="shared" ref="G79:G81" si="17">F79-F78</f>
        <v>-115629593382</v>
      </c>
    </row>
    <row r="80" spans="1:7" x14ac:dyDescent="0.35">
      <c r="A80" s="1">
        <v>79</v>
      </c>
      <c r="B80" s="1" t="s">
        <v>18</v>
      </c>
      <c r="C80" s="1">
        <v>2020</v>
      </c>
      <c r="D80" s="20">
        <f>NCO!F80</f>
        <v>287845860432</v>
      </c>
      <c r="E80" s="20">
        <f>NCO!I80</f>
        <v>39785627279</v>
      </c>
      <c r="F80" s="33">
        <f t="shared" si="14"/>
        <v>248060233153</v>
      </c>
      <c r="G80" s="19">
        <f t="shared" si="17"/>
        <v>-84549185751</v>
      </c>
    </row>
    <row r="81" spans="1:7" x14ac:dyDescent="0.35">
      <c r="A81" s="1">
        <v>80</v>
      </c>
      <c r="B81" s="1" t="s">
        <v>18</v>
      </c>
      <c r="C81" s="1">
        <v>2021</v>
      </c>
      <c r="D81" s="20">
        <f>NCO!F81</f>
        <v>232430965150</v>
      </c>
      <c r="E81" s="20">
        <f>NCO!I81</f>
        <v>24621827763</v>
      </c>
      <c r="F81" s="33">
        <f t="shared" si="14"/>
        <v>207809137387</v>
      </c>
      <c r="G81" s="19">
        <f t="shared" si="17"/>
        <v>-40251095766</v>
      </c>
    </row>
    <row r="82" spans="1:7" x14ac:dyDescent="0.35">
      <c r="A82" s="1">
        <v>81</v>
      </c>
      <c r="B82" s="1" t="s">
        <v>19</v>
      </c>
      <c r="C82" s="1">
        <v>2017</v>
      </c>
      <c r="D82" s="20">
        <f>NCO!F82</f>
        <v>22346816000000</v>
      </c>
      <c r="E82" s="20">
        <f>NCO!I82</f>
        <v>4404630000000</v>
      </c>
      <c r="F82" s="33">
        <f t="shared" si="14"/>
        <v>17942186000000</v>
      </c>
      <c r="G82" s="9"/>
    </row>
    <row r="83" spans="1:7" x14ac:dyDescent="0.35">
      <c r="A83" s="1">
        <v>82</v>
      </c>
      <c r="B83" s="1" t="s">
        <v>19</v>
      </c>
      <c r="C83" s="1">
        <v>2018</v>
      </c>
      <c r="D83" s="20">
        <f>NCO!F83</f>
        <v>23787274000000</v>
      </c>
      <c r="E83" s="20">
        <f>NCO!I83</f>
        <v>4419322000000</v>
      </c>
      <c r="F83" s="33">
        <f t="shared" si="14"/>
        <v>19367952000000</v>
      </c>
      <c r="G83" s="19">
        <f>F83-F82</f>
        <v>1425766000000</v>
      </c>
    </row>
    <row r="84" spans="1:7" x14ac:dyDescent="0.35">
      <c r="A84" s="1">
        <v>83</v>
      </c>
      <c r="B84" s="1" t="s">
        <v>19</v>
      </c>
      <c r="C84" s="1">
        <v>2019</v>
      </c>
      <c r="D84" s="20">
        <f>NCO!F84</f>
        <v>25715628000000</v>
      </c>
      <c r="E84" s="20">
        <f>NCO!I84</f>
        <v>4338029000000</v>
      </c>
      <c r="F84" s="33">
        <f t="shared" si="14"/>
        <v>21377599000000</v>
      </c>
      <c r="G84" s="19">
        <f t="shared" ref="G84:G86" si="18">F84-F83</f>
        <v>2009647000000</v>
      </c>
    </row>
    <row r="85" spans="1:7" x14ac:dyDescent="0.35">
      <c r="A85" s="1">
        <v>84</v>
      </c>
      <c r="B85" s="1" t="s">
        <v>19</v>
      </c>
      <c r="C85" s="1">
        <v>2020</v>
      </c>
      <c r="D85" s="20">
        <f>NCO!F85</f>
        <v>25959666000000</v>
      </c>
      <c r="E85" s="20">
        <f>NCO!I85</f>
        <v>4484512000000</v>
      </c>
      <c r="F85" s="33">
        <f t="shared" si="14"/>
        <v>21475154000000</v>
      </c>
      <c r="G85" s="19">
        <f t="shared" si="18"/>
        <v>97555000000</v>
      </c>
    </row>
    <row r="86" spans="1:7" x14ac:dyDescent="0.35">
      <c r="A86" s="1">
        <v>85</v>
      </c>
      <c r="B86" s="1" t="s">
        <v>19</v>
      </c>
      <c r="C86" s="1">
        <v>2021</v>
      </c>
      <c r="D86" s="20">
        <f>NCO!F86</f>
        <v>26381894000000</v>
      </c>
      <c r="E86" s="20">
        <f>NCO!I86</f>
        <v>4364736000000</v>
      </c>
      <c r="F86" s="33">
        <f t="shared" si="14"/>
        <v>22017158000000</v>
      </c>
      <c r="G86" s="19">
        <f t="shared" si="18"/>
        <v>542004000000</v>
      </c>
    </row>
    <row r="87" spans="1:7" x14ac:dyDescent="0.35">
      <c r="A87" s="1">
        <v>86</v>
      </c>
      <c r="B87" s="1" t="s">
        <v>20</v>
      </c>
      <c r="C87" s="1">
        <v>2017</v>
      </c>
      <c r="D87" s="20">
        <f>NCO!F87</f>
        <v>2380920000000</v>
      </c>
      <c r="E87" s="20">
        <f>NCO!I87</f>
        <v>20979506000000</v>
      </c>
      <c r="F87" s="33">
        <f t="shared" si="14"/>
        <v>-18598586000000</v>
      </c>
      <c r="G87" s="19"/>
    </row>
    <row r="88" spans="1:7" x14ac:dyDescent="0.35">
      <c r="A88" s="1">
        <v>87</v>
      </c>
      <c r="B88" s="1" t="s">
        <v>20</v>
      </c>
      <c r="C88" s="1">
        <v>2018</v>
      </c>
      <c r="D88" s="20">
        <f>NCO!F88</f>
        <v>1312300000000</v>
      </c>
      <c r="E88" s="20">
        <f>NCO!I88</f>
        <v>23081225000000</v>
      </c>
      <c r="F88" s="33">
        <f t="shared" si="14"/>
        <v>-21768925000000</v>
      </c>
      <c r="G88" s="19">
        <f>(F88-F87)</f>
        <v>-3170339000000</v>
      </c>
    </row>
    <row r="89" spans="1:7" x14ac:dyDescent="0.35">
      <c r="A89" s="1">
        <v>88</v>
      </c>
      <c r="B89" s="1" t="s">
        <v>20</v>
      </c>
      <c r="C89" s="1">
        <v>2019</v>
      </c>
      <c r="D89" s="20">
        <f>NCO!F89</f>
        <v>1832830000000</v>
      </c>
      <c r="E89" s="20">
        <f>NCO!I89</f>
        <v>30000672000000</v>
      </c>
      <c r="F89" s="33">
        <f t="shared" si="14"/>
        <v>-28167842000000</v>
      </c>
      <c r="G89" s="19">
        <f t="shared" ref="G89:G91" si="19">(F89-F88)</f>
        <v>-6398917000000</v>
      </c>
    </row>
    <row r="90" spans="1:7" x14ac:dyDescent="0.35">
      <c r="A90" s="1">
        <v>89</v>
      </c>
      <c r="B90" s="1" t="s">
        <v>20</v>
      </c>
      <c r="C90" s="1">
        <v>2020</v>
      </c>
      <c r="D90" s="20">
        <f>NCO!F90</f>
        <v>2180842000000</v>
      </c>
      <c r="E90" s="20">
        <f>NCO!I90</f>
        <v>30782968000000</v>
      </c>
      <c r="F90" s="33">
        <f t="shared" si="14"/>
        <v>-28602126000000</v>
      </c>
      <c r="G90" s="19">
        <f t="shared" si="19"/>
        <v>-434284000000</v>
      </c>
    </row>
    <row r="91" spans="1:7" x14ac:dyDescent="0.35">
      <c r="A91" s="1">
        <v>90</v>
      </c>
      <c r="B91" s="1" t="s">
        <v>20</v>
      </c>
      <c r="C91" s="1">
        <v>2021</v>
      </c>
      <c r="D91" s="20">
        <f>NCO!F91</f>
        <v>3354533000000</v>
      </c>
      <c r="E91" s="20">
        <f>NCO!I91</f>
        <v>34544380000000</v>
      </c>
      <c r="F91" s="33">
        <f t="shared" si="14"/>
        <v>-31189847000000</v>
      </c>
      <c r="G91" s="19">
        <f t="shared" si="19"/>
        <v>-2587721000000</v>
      </c>
    </row>
    <row r="92" spans="1:7" x14ac:dyDescent="0.35">
      <c r="A92" s="1">
        <v>91</v>
      </c>
      <c r="B92" s="1" t="s">
        <v>21</v>
      </c>
      <c r="C92" s="1">
        <v>2017</v>
      </c>
      <c r="D92" s="20">
        <f>NCO!F92</f>
        <v>51665734000000</v>
      </c>
      <c r="E92" s="20">
        <f>NCO!I92</f>
        <v>66140481000000</v>
      </c>
      <c r="F92" s="33">
        <f t="shared" si="14"/>
        <v>-14474747000000</v>
      </c>
      <c r="G92" s="9"/>
    </row>
    <row r="93" spans="1:7" x14ac:dyDescent="0.35">
      <c r="A93" s="1">
        <v>92</v>
      </c>
      <c r="B93" s="1" t="s">
        <v>21</v>
      </c>
      <c r="C93" s="1">
        <v>2018</v>
      </c>
      <c r="D93" s="20">
        <f>NCO!F93</f>
        <v>60635423000000</v>
      </c>
      <c r="E93" s="20">
        <f>NCO!I93</f>
        <v>75550211000000</v>
      </c>
      <c r="F93" s="33">
        <f t="shared" si="14"/>
        <v>-14914788000000</v>
      </c>
      <c r="G93" s="19">
        <f>F93-F92</f>
        <v>-440041000000</v>
      </c>
    </row>
    <row r="94" spans="1:7" x14ac:dyDescent="0.35">
      <c r="A94" s="1">
        <v>93</v>
      </c>
      <c r="B94" s="1" t="s">
        <v>21</v>
      </c>
      <c r="C94" s="1">
        <v>2019</v>
      </c>
      <c r="D94" s="20">
        <f>NCO!F94</f>
        <v>58325664000000</v>
      </c>
      <c r="E94" s="20">
        <f>NCO!I94</f>
        <v>77460250000000</v>
      </c>
      <c r="F94" s="33">
        <f t="shared" si="14"/>
        <v>-19134586000000</v>
      </c>
      <c r="G94" s="19">
        <f t="shared" ref="G94:G96" si="20">F94-F93</f>
        <v>-4219798000000</v>
      </c>
    </row>
    <row r="95" spans="1:7" x14ac:dyDescent="0.35">
      <c r="A95" s="1">
        <v>94</v>
      </c>
      <c r="B95" s="1" t="s">
        <v>21</v>
      </c>
      <c r="C95" s="1">
        <v>2020</v>
      </c>
      <c r="D95" s="20">
        <f>NCO!F95</f>
        <v>59486860000000</v>
      </c>
      <c r="E95" s="20">
        <f>NCO!I95</f>
        <v>85533983000000</v>
      </c>
      <c r="F95" s="33">
        <f t="shared" si="14"/>
        <v>-26047123000000</v>
      </c>
      <c r="G95" s="19">
        <f t="shared" si="20"/>
        <v>-6912537000000</v>
      </c>
    </row>
    <row r="96" spans="1:7" x14ac:dyDescent="0.35">
      <c r="A96" s="1">
        <v>95</v>
      </c>
      <c r="B96" s="1" t="s">
        <v>21</v>
      </c>
      <c r="C96" s="1">
        <v>2021</v>
      </c>
      <c r="D96" s="20">
        <f>NCO!F96</f>
        <v>72429486000000</v>
      </c>
      <c r="E96" s="20">
        <f>NCO!I96</f>
        <v>94727715000000</v>
      </c>
      <c r="F96" s="33">
        <f t="shared" si="14"/>
        <v>-22298229000000</v>
      </c>
      <c r="G96" s="19">
        <f t="shared" si="20"/>
        <v>3748894000000</v>
      </c>
    </row>
    <row r="97" spans="1:7" x14ac:dyDescent="0.35">
      <c r="A97" s="1">
        <v>96</v>
      </c>
      <c r="B97" s="1" t="s">
        <v>22</v>
      </c>
      <c r="C97" s="1">
        <v>2017</v>
      </c>
      <c r="D97" s="20">
        <f>NCO!F97</f>
        <v>0</v>
      </c>
      <c r="E97" s="20">
        <f>NCO!I97</f>
        <v>6755920000000</v>
      </c>
      <c r="F97" s="33">
        <f t="shared" si="14"/>
        <v>-6755920000000</v>
      </c>
      <c r="G97" s="9"/>
    </row>
    <row r="98" spans="1:7" x14ac:dyDescent="0.35">
      <c r="A98" s="1">
        <v>97</v>
      </c>
      <c r="B98" s="1" t="s">
        <v>22</v>
      </c>
      <c r="C98" s="1">
        <v>2018</v>
      </c>
      <c r="D98" s="20">
        <f>NCO!F98</f>
        <v>3150000000</v>
      </c>
      <c r="E98" s="20">
        <f>NCO!I98</f>
        <v>7655464000000</v>
      </c>
      <c r="F98" s="33">
        <f t="shared" si="14"/>
        <v>-7652314000000</v>
      </c>
      <c r="G98" s="19">
        <f>F98-F97</f>
        <v>-896394000000</v>
      </c>
    </row>
    <row r="99" spans="1:7" x14ac:dyDescent="0.35">
      <c r="A99" s="1">
        <v>98</v>
      </c>
      <c r="B99" s="1" t="s">
        <v>22</v>
      </c>
      <c r="C99" s="1">
        <v>2019</v>
      </c>
      <c r="D99" s="20">
        <f>NCO!F99</f>
        <v>3572000000</v>
      </c>
      <c r="E99" s="20">
        <f>NCO!I99</f>
        <v>6900593000000</v>
      </c>
      <c r="F99" s="33">
        <f t="shared" si="14"/>
        <v>-6897021000000</v>
      </c>
      <c r="G99" s="19">
        <f t="shared" ref="G99:G101" si="21">F99-F98</f>
        <v>755293000000</v>
      </c>
    </row>
    <row r="100" spans="1:7" x14ac:dyDescent="0.35">
      <c r="A100" s="1">
        <v>99</v>
      </c>
      <c r="B100" s="1" t="s">
        <v>22</v>
      </c>
      <c r="C100" s="1">
        <v>2020</v>
      </c>
      <c r="D100" s="20">
        <f>NCO!F100</f>
        <v>2817000000</v>
      </c>
      <c r="E100" s="20">
        <f>NCO!I100</f>
        <v>4070357000000</v>
      </c>
      <c r="F100" s="33">
        <f t="shared" si="14"/>
        <v>-4067540000000</v>
      </c>
      <c r="G100" s="19">
        <f t="shared" si="21"/>
        <v>2829481000000</v>
      </c>
    </row>
    <row r="101" spans="1:7" x14ac:dyDescent="0.35">
      <c r="A101" s="1">
        <v>100</v>
      </c>
      <c r="B101" s="1" t="s">
        <v>22</v>
      </c>
      <c r="C101" s="1">
        <v>2021</v>
      </c>
      <c r="D101" s="20">
        <f>NCO!F101</f>
        <v>3971000000</v>
      </c>
      <c r="E101" s="20">
        <f>NCO!I101</f>
        <v>3817437000000</v>
      </c>
      <c r="F101" s="33">
        <f t="shared" si="14"/>
        <v>-3813466000000</v>
      </c>
      <c r="G101" s="19">
        <f t="shared" si="21"/>
        <v>254074000000</v>
      </c>
    </row>
    <row r="102" spans="1:7" ht="15.5" x14ac:dyDescent="0.35">
      <c r="A102" s="1">
        <v>101</v>
      </c>
      <c r="B102" s="2" t="s">
        <v>78</v>
      </c>
      <c r="C102" s="25">
        <v>2017</v>
      </c>
      <c r="D102" s="27">
        <v>306881269000</v>
      </c>
      <c r="E102" s="27">
        <v>781182992000</v>
      </c>
      <c r="F102" s="33">
        <f t="shared" si="14"/>
        <v>-474301723000</v>
      </c>
      <c r="G102" s="9"/>
    </row>
    <row r="103" spans="1:7" ht="15.5" x14ac:dyDescent="0.35">
      <c r="A103" s="1">
        <v>102</v>
      </c>
      <c r="B103" s="2"/>
      <c r="C103" s="25">
        <v>2018</v>
      </c>
      <c r="D103" s="27">
        <v>333553440000</v>
      </c>
      <c r="E103" s="27">
        <v>738435768000</v>
      </c>
      <c r="F103" s="33">
        <f t="shared" si="14"/>
        <v>-404882328000</v>
      </c>
      <c r="G103" s="33">
        <f>F103-F102</f>
        <v>69419395000</v>
      </c>
    </row>
    <row r="104" spans="1:7" ht="15.5" x14ac:dyDescent="0.35">
      <c r="A104" s="1">
        <v>103</v>
      </c>
      <c r="B104" s="2"/>
      <c r="C104" s="25">
        <v>2019</v>
      </c>
      <c r="D104" s="27">
        <v>367849683000</v>
      </c>
      <c r="E104" s="27">
        <v>823936164000</v>
      </c>
      <c r="F104" s="33">
        <f t="shared" si="14"/>
        <v>-456086481000</v>
      </c>
      <c r="G104" s="33">
        <f t="shared" ref="G104:G105" si="22">F104-F103</f>
        <v>-51204153000</v>
      </c>
    </row>
    <row r="105" spans="1:7" ht="15.5" x14ac:dyDescent="0.35">
      <c r="A105" s="1">
        <v>104</v>
      </c>
      <c r="B105" s="2"/>
      <c r="C105" s="25">
        <v>2020</v>
      </c>
      <c r="D105" s="27">
        <v>345675142000</v>
      </c>
      <c r="E105" s="27">
        <v>508174714000</v>
      </c>
      <c r="F105" s="33">
        <f t="shared" si="14"/>
        <v>-162499572000</v>
      </c>
      <c r="G105" s="33">
        <f t="shared" si="22"/>
        <v>293586909000</v>
      </c>
    </row>
    <row r="106" spans="1:7" ht="15.5" x14ac:dyDescent="0.35">
      <c r="A106" s="1">
        <v>105</v>
      </c>
      <c r="B106" s="2"/>
      <c r="C106" s="25">
        <v>2021</v>
      </c>
      <c r="D106" s="27">
        <v>365646173000</v>
      </c>
      <c r="E106" s="27">
        <v>462797631000</v>
      </c>
      <c r="F106" s="33">
        <f t="shared" si="14"/>
        <v>-97151458000</v>
      </c>
      <c r="G106" s="33">
        <f>F106-F105</f>
        <v>65348114000</v>
      </c>
    </row>
    <row r="107" spans="1:7" ht="15.5" x14ac:dyDescent="0.35">
      <c r="A107" s="1">
        <v>106</v>
      </c>
      <c r="B107" s="2" t="s">
        <v>79</v>
      </c>
      <c r="C107" s="25">
        <v>2017</v>
      </c>
      <c r="D107" s="27">
        <v>11200487000000</v>
      </c>
      <c r="E107" s="27">
        <v>99684047000000</v>
      </c>
      <c r="F107" s="33">
        <f t="shared" si="14"/>
        <v>-88483560000000</v>
      </c>
      <c r="G107" s="9"/>
    </row>
    <row r="108" spans="1:7" ht="15.5" x14ac:dyDescent="0.35">
      <c r="A108" s="1">
        <v>107</v>
      </c>
      <c r="B108" s="2"/>
      <c r="C108" s="25">
        <v>2018</v>
      </c>
      <c r="D108" s="27">
        <v>8843553000000</v>
      </c>
      <c r="E108" s="27">
        <v>87049486000000</v>
      </c>
      <c r="F108" s="33">
        <f t="shared" si="14"/>
        <v>-78205933000000</v>
      </c>
      <c r="G108" s="33">
        <f>F108-F107</f>
        <v>10277627000000</v>
      </c>
    </row>
    <row r="109" spans="1:7" ht="15.5" x14ac:dyDescent="0.35">
      <c r="A109" s="1">
        <v>108</v>
      </c>
      <c r="B109" s="2"/>
      <c r="C109" s="25">
        <v>2019</v>
      </c>
      <c r="D109" s="27">
        <v>9069393000000</v>
      </c>
      <c r="E109" s="27">
        <v>91358763000000</v>
      </c>
      <c r="F109" s="33">
        <f t="shared" si="14"/>
        <v>-82289370000000</v>
      </c>
      <c r="G109" s="33">
        <f t="shared" ref="G109:G111" si="23">F109-F108</f>
        <v>-4083437000000</v>
      </c>
    </row>
    <row r="110" spans="1:7" ht="15.5" x14ac:dyDescent="0.35">
      <c r="A110" s="1">
        <v>109</v>
      </c>
      <c r="B110" s="2"/>
      <c r="C110" s="25">
        <v>2020</v>
      </c>
      <c r="D110" s="27">
        <v>6026015000000</v>
      </c>
      <c r="E110" s="27">
        <v>71472136000000</v>
      </c>
      <c r="F110" s="33">
        <f t="shared" si="14"/>
        <v>-65446121000000</v>
      </c>
      <c r="G110" s="33">
        <f t="shared" si="23"/>
        <v>16843249000000</v>
      </c>
    </row>
    <row r="111" spans="1:7" ht="15.5" x14ac:dyDescent="0.35">
      <c r="A111" s="1">
        <v>110</v>
      </c>
      <c r="B111" s="2"/>
      <c r="C111" s="25">
        <v>2021</v>
      </c>
      <c r="D111" s="27">
        <v>8393464000000</v>
      </c>
      <c r="E111" s="27">
        <v>76009770000000</v>
      </c>
      <c r="F111" s="33">
        <f t="shared" si="14"/>
        <v>-67616306000000</v>
      </c>
      <c r="G111" s="33">
        <f t="shared" si="23"/>
        <v>-2170185000000</v>
      </c>
    </row>
    <row r="112" spans="1:7" ht="15.5" x14ac:dyDescent="0.35">
      <c r="A112" s="1">
        <v>111</v>
      </c>
      <c r="B112" s="2" t="s">
        <v>80</v>
      </c>
      <c r="C112" s="25">
        <v>2017</v>
      </c>
      <c r="D112" s="27">
        <v>3337890899570</v>
      </c>
      <c r="E112" s="27">
        <v>8735206429836</v>
      </c>
      <c r="F112" s="33">
        <f t="shared" si="14"/>
        <v>-5397315530266</v>
      </c>
      <c r="G112" s="9"/>
    </row>
    <row r="113" spans="1:7" ht="15.5" x14ac:dyDescent="0.35">
      <c r="A113" s="1">
        <v>112</v>
      </c>
      <c r="B113" s="2"/>
      <c r="C113" s="25">
        <v>2018</v>
      </c>
      <c r="D113" s="27">
        <v>2915096303862</v>
      </c>
      <c r="E113" s="27">
        <v>9005066283473</v>
      </c>
      <c r="F113" s="33">
        <f t="shared" si="14"/>
        <v>-6089969979611</v>
      </c>
      <c r="G113" s="33">
        <f>F113-F112</f>
        <v>-692654449345</v>
      </c>
    </row>
    <row r="114" spans="1:7" ht="15.5" x14ac:dyDescent="0.35">
      <c r="A114" s="1">
        <v>113</v>
      </c>
      <c r="B114" s="2"/>
      <c r="C114" s="25">
        <v>2019</v>
      </c>
      <c r="D114" s="27">
        <v>3444862952893</v>
      </c>
      <c r="E114" s="27">
        <v>9419749653807</v>
      </c>
      <c r="F114" s="33">
        <f t="shared" si="14"/>
        <v>-5974886700914</v>
      </c>
      <c r="G114" s="33">
        <f t="shared" ref="G114:G116" si="24">F114-F113</f>
        <v>115083278697</v>
      </c>
    </row>
    <row r="115" spans="1:7" ht="15.5" x14ac:dyDescent="0.35">
      <c r="A115" s="1">
        <v>114</v>
      </c>
      <c r="B115" s="2"/>
      <c r="C115" s="25">
        <v>2020</v>
      </c>
      <c r="D115" s="27">
        <v>5804656337068</v>
      </c>
      <c r="E115" s="27">
        <v>10150492606994</v>
      </c>
      <c r="F115" s="33">
        <f t="shared" si="14"/>
        <v>-4345836269926</v>
      </c>
      <c r="G115" s="33">
        <f t="shared" si="24"/>
        <v>1629050430988</v>
      </c>
    </row>
    <row r="116" spans="1:7" ht="15.5" x14ac:dyDescent="0.35">
      <c r="A116" s="1">
        <v>115</v>
      </c>
      <c r="B116" s="2"/>
      <c r="C116" s="25">
        <v>2021</v>
      </c>
      <c r="D116" s="27">
        <v>6544833172771</v>
      </c>
      <c r="E116" s="27">
        <v>11693332176560</v>
      </c>
      <c r="F116" s="33">
        <f t="shared" si="14"/>
        <v>-5148499003789</v>
      </c>
      <c r="G116" s="33">
        <f t="shared" si="24"/>
        <v>-802662733863</v>
      </c>
    </row>
    <row r="117" spans="1:7" ht="15.5" x14ac:dyDescent="0.35">
      <c r="A117" s="1">
        <v>116</v>
      </c>
      <c r="B117" s="2" t="s">
        <v>81</v>
      </c>
      <c r="C117" s="25">
        <v>2017</v>
      </c>
      <c r="D117" s="27">
        <v>208350804000000</v>
      </c>
      <c r="E117" s="27">
        <v>959439711000000</v>
      </c>
      <c r="F117" s="33">
        <f t="shared" si="14"/>
        <v>-751088907000000</v>
      </c>
      <c r="G117" s="9"/>
    </row>
    <row r="118" spans="1:7" ht="15.5" x14ac:dyDescent="0.35">
      <c r="A118" s="1">
        <v>117</v>
      </c>
      <c r="B118" s="2"/>
      <c r="C118" s="25">
        <v>2018</v>
      </c>
      <c r="D118" s="27">
        <v>195645974000000</v>
      </c>
      <c r="E118" s="27">
        <v>1111622961000000</v>
      </c>
      <c r="F118" s="33">
        <f t="shared" si="14"/>
        <v>-915976987000000</v>
      </c>
      <c r="G118" s="33">
        <f>F118-F117</f>
        <v>-164888080000000</v>
      </c>
    </row>
    <row r="119" spans="1:7" ht="15.5" x14ac:dyDescent="0.35">
      <c r="A119" s="1">
        <v>118</v>
      </c>
      <c r="B119" s="2"/>
      <c r="C119" s="25">
        <v>2019</v>
      </c>
      <c r="D119" s="27">
        <v>220298027000000</v>
      </c>
      <c r="E119" s="27">
        <v>1183155670000000</v>
      </c>
      <c r="F119" s="33">
        <f t="shared" si="14"/>
        <v>-962857643000000</v>
      </c>
      <c r="G119" s="33">
        <f t="shared" ref="G119:G121" si="25">F119-F118</f>
        <v>-46880656000000</v>
      </c>
    </row>
    <row r="120" spans="1:7" ht="15.5" x14ac:dyDescent="0.35">
      <c r="A120" s="1">
        <v>119</v>
      </c>
      <c r="B120" s="2"/>
      <c r="C120" s="25">
        <v>2020</v>
      </c>
      <c r="D120" s="27">
        <v>375575082000000</v>
      </c>
      <c r="E120" s="27">
        <v>1278346276000000</v>
      </c>
      <c r="F120" s="33">
        <f t="shared" si="14"/>
        <v>-902771194000000</v>
      </c>
      <c r="G120" s="33">
        <f t="shared" si="25"/>
        <v>60086449000000</v>
      </c>
    </row>
    <row r="121" spans="1:7" ht="15.5" x14ac:dyDescent="0.35">
      <c r="A121" s="1">
        <v>120</v>
      </c>
      <c r="B121" s="2"/>
      <c r="C121" s="25">
        <v>2021</v>
      </c>
      <c r="D121" s="27">
        <v>383300804800000</v>
      </c>
      <c r="E121" s="27">
        <v>1386310930000000</v>
      </c>
      <c r="F121" s="33">
        <f t="shared" si="14"/>
        <v>-1003010125200000</v>
      </c>
      <c r="G121" s="33">
        <f t="shared" si="25"/>
        <v>-100238931200000</v>
      </c>
    </row>
    <row r="122" spans="1:7" ht="15.5" x14ac:dyDescent="0.35">
      <c r="A122" s="1">
        <v>121</v>
      </c>
      <c r="B122" s="2" t="s">
        <v>82</v>
      </c>
      <c r="C122" s="25">
        <v>2017</v>
      </c>
      <c r="D122" s="27">
        <v>302751771758</v>
      </c>
      <c r="E122" s="27">
        <v>4328603730902</v>
      </c>
      <c r="F122" s="33">
        <f t="shared" si="14"/>
        <v>-4025851959144</v>
      </c>
      <c r="G122" s="9"/>
    </row>
    <row r="123" spans="1:7" ht="15.5" x14ac:dyDescent="0.35">
      <c r="A123" s="1">
        <v>122</v>
      </c>
      <c r="B123" s="2"/>
      <c r="C123" s="25">
        <v>2018</v>
      </c>
      <c r="D123" s="27">
        <v>215459338372</v>
      </c>
      <c r="E123" s="27">
        <v>3933343821678</v>
      </c>
      <c r="F123" s="33">
        <f t="shared" si="14"/>
        <v>-3717884483306</v>
      </c>
      <c r="G123" s="33">
        <f>F123-F122</f>
        <v>307967475838</v>
      </c>
    </row>
    <row r="124" spans="1:7" ht="15.5" x14ac:dyDescent="0.35">
      <c r="A124" s="1">
        <v>123</v>
      </c>
      <c r="B124" s="2"/>
      <c r="C124" s="25">
        <v>2019</v>
      </c>
      <c r="D124" s="27">
        <v>551687214642</v>
      </c>
      <c r="E124" s="27">
        <v>4177951053821</v>
      </c>
      <c r="F124" s="33">
        <f t="shared" si="14"/>
        <v>-3626263839179</v>
      </c>
      <c r="G124" s="33">
        <f t="shared" ref="G124:G126" si="26">F124-F123</f>
        <v>91620644127</v>
      </c>
    </row>
    <row r="125" spans="1:7" ht="15.5" x14ac:dyDescent="0.35">
      <c r="A125" s="1">
        <v>124</v>
      </c>
      <c r="B125" s="2"/>
      <c r="C125" s="25">
        <v>2020</v>
      </c>
      <c r="D125" s="27">
        <v>861213957562</v>
      </c>
      <c r="E125" s="27">
        <v>4300705118122</v>
      </c>
      <c r="F125" s="33">
        <f t="shared" si="14"/>
        <v>-3439491160560</v>
      </c>
      <c r="G125" s="33">
        <f t="shared" si="26"/>
        <v>186772678619</v>
      </c>
    </row>
    <row r="126" spans="1:7" ht="15.5" x14ac:dyDescent="0.35">
      <c r="A126" s="1">
        <v>125</v>
      </c>
      <c r="B126" s="2"/>
      <c r="C126" s="25">
        <v>2021</v>
      </c>
      <c r="D126" s="27">
        <v>3362835427000</v>
      </c>
      <c r="E126" s="27">
        <v>8447980414962</v>
      </c>
      <c r="F126" s="33">
        <f t="shared" si="14"/>
        <v>-5085144987962</v>
      </c>
      <c r="G126" s="33">
        <f t="shared" si="26"/>
        <v>-1645653827402</v>
      </c>
    </row>
    <row r="127" spans="1:7" ht="15.5" x14ac:dyDescent="0.35">
      <c r="A127" s="1">
        <v>126</v>
      </c>
      <c r="B127" s="2" t="s">
        <v>83</v>
      </c>
      <c r="C127" s="25">
        <v>2017</v>
      </c>
      <c r="D127" s="27">
        <v>1055619000000</v>
      </c>
      <c r="E127" s="27">
        <v>1919161000000</v>
      </c>
      <c r="F127" s="33">
        <f t="shared" si="14"/>
        <v>-863542000000</v>
      </c>
      <c r="G127" s="9"/>
    </row>
    <row r="128" spans="1:7" ht="15.5" x14ac:dyDescent="0.35">
      <c r="A128" s="1">
        <v>127</v>
      </c>
      <c r="B128" s="2"/>
      <c r="C128" s="25">
        <v>2018</v>
      </c>
      <c r="D128" s="27">
        <v>964591000000</v>
      </c>
      <c r="E128" s="27">
        <v>2646122000000</v>
      </c>
      <c r="F128" s="33">
        <f t="shared" si="14"/>
        <v>-1681531000000</v>
      </c>
      <c r="G128" s="33">
        <f>F128-F127</f>
        <v>-817989000000</v>
      </c>
    </row>
    <row r="129" spans="1:7" ht="15.5" x14ac:dyDescent="0.35">
      <c r="A129" s="1">
        <v>128</v>
      </c>
      <c r="B129" s="2"/>
      <c r="C129" s="25">
        <v>2019</v>
      </c>
      <c r="D129" s="27">
        <v>1621855000000</v>
      </c>
      <c r="E129" s="27">
        <v>4041333000000</v>
      </c>
      <c r="F129" s="33">
        <f t="shared" si="14"/>
        <v>-2419478000000</v>
      </c>
      <c r="G129" s="33">
        <f t="shared" ref="G129:G131" si="27">F129-F128</f>
        <v>-737947000000</v>
      </c>
    </row>
    <row r="130" spans="1:7" ht="15.5" x14ac:dyDescent="0.35">
      <c r="A130" s="1">
        <v>129</v>
      </c>
      <c r="B130" s="2"/>
      <c r="C130" s="25">
        <v>2020</v>
      </c>
      <c r="D130" s="27">
        <v>3324518000000</v>
      </c>
      <c r="E130" s="27">
        <v>7220541000000</v>
      </c>
      <c r="F130" s="33">
        <f t="shared" si="14"/>
        <v>-3896023000000</v>
      </c>
      <c r="G130" s="33">
        <f t="shared" si="27"/>
        <v>-1476545000000</v>
      </c>
    </row>
    <row r="131" spans="1:7" ht="15.5" x14ac:dyDescent="0.35">
      <c r="A131" s="1">
        <v>130</v>
      </c>
      <c r="B131" s="2"/>
      <c r="C131" s="25">
        <v>2021</v>
      </c>
      <c r="D131" s="27">
        <v>5903977000000</v>
      </c>
      <c r="E131" s="27">
        <v>12682175000000</v>
      </c>
      <c r="F131" s="33">
        <f t="shared" ref="F131:F176" si="28">D131-E131</f>
        <v>-6778198000000</v>
      </c>
      <c r="G131" s="33">
        <f t="shared" si="27"/>
        <v>-2882175000000</v>
      </c>
    </row>
    <row r="132" spans="1:7" ht="15.5" x14ac:dyDescent="0.35">
      <c r="A132" s="1">
        <v>131</v>
      </c>
      <c r="B132" s="2" t="s">
        <v>84</v>
      </c>
      <c r="C132" s="25">
        <v>2017</v>
      </c>
      <c r="D132" s="27">
        <v>4742414000000</v>
      </c>
      <c r="E132" s="27">
        <v>43702607000000</v>
      </c>
      <c r="F132" s="33">
        <f t="shared" si="28"/>
        <v>-38960193000000</v>
      </c>
      <c r="G132" s="9"/>
    </row>
    <row r="133" spans="1:7" ht="15.5" x14ac:dyDescent="0.35">
      <c r="A133" s="1">
        <v>132</v>
      </c>
      <c r="B133" s="2"/>
      <c r="C133" s="25">
        <v>2018</v>
      </c>
      <c r="D133" s="27">
        <v>8358336000000</v>
      </c>
      <c r="E133" s="27">
        <v>54217182000000</v>
      </c>
      <c r="F133" s="33">
        <f t="shared" si="28"/>
        <v>-45858846000000</v>
      </c>
      <c r="G133" s="33">
        <f>F133-F132</f>
        <v>-6898653000000</v>
      </c>
    </row>
    <row r="134" spans="1:7" ht="15.5" x14ac:dyDescent="0.35">
      <c r="A134" s="1">
        <v>133</v>
      </c>
      <c r="B134" s="2"/>
      <c r="C134" s="25">
        <v>2019</v>
      </c>
      <c r="D134" s="27">
        <v>9563071000000</v>
      </c>
      <c r="E134" s="27">
        <v>67734755000000</v>
      </c>
      <c r="F134" s="33">
        <f t="shared" si="28"/>
        <v>-58171684000000</v>
      </c>
      <c r="G134" s="33">
        <f t="shared" ref="G134:G136" si="29">F134-F133</f>
        <v>-12312838000000</v>
      </c>
    </row>
    <row r="135" spans="1:7" ht="15.5" x14ac:dyDescent="0.35">
      <c r="A135" s="1">
        <v>134</v>
      </c>
      <c r="B135" s="2"/>
      <c r="C135" s="25">
        <v>2020</v>
      </c>
      <c r="D135" s="27">
        <v>14658619000000</v>
      </c>
      <c r="E135" s="27">
        <v>73614504000000</v>
      </c>
      <c r="F135" s="33">
        <f t="shared" si="28"/>
        <v>-58955885000000</v>
      </c>
      <c r="G135" s="33">
        <f t="shared" si="29"/>
        <v>-784201000000</v>
      </c>
    </row>
    <row r="136" spans="1:7" ht="15.5" x14ac:dyDescent="0.35">
      <c r="A136" s="1">
        <v>135</v>
      </c>
      <c r="B136" s="2"/>
      <c r="C136" s="25">
        <v>2021</v>
      </c>
      <c r="D136" s="27">
        <v>32383023000000</v>
      </c>
      <c r="E136" s="27">
        <v>89812791000000</v>
      </c>
      <c r="F136" s="33">
        <f t="shared" si="28"/>
        <v>-57429768000000</v>
      </c>
      <c r="G136" s="33">
        <f t="shared" si="29"/>
        <v>1526117000000</v>
      </c>
    </row>
    <row r="137" spans="1:7" ht="15.5" x14ac:dyDescent="0.35">
      <c r="A137" s="1">
        <v>136</v>
      </c>
      <c r="B137" s="2" t="s">
        <v>85</v>
      </c>
      <c r="C137" s="25">
        <v>2017</v>
      </c>
      <c r="D137" s="27">
        <v>165739713000000</v>
      </c>
      <c r="E137" s="27">
        <v>888026817000000</v>
      </c>
      <c r="F137" s="33">
        <f t="shared" si="28"/>
        <v>-722287104000000</v>
      </c>
      <c r="G137" s="9"/>
    </row>
    <row r="138" spans="1:7" ht="15.5" x14ac:dyDescent="0.35">
      <c r="A138" s="1">
        <v>137</v>
      </c>
      <c r="B138" s="2"/>
      <c r="C138" s="25">
        <v>2018</v>
      </c>
      <c r="D138" s="27">
        <v>181861025000000</v>
      </c>
      <c r="E138" s="27">
        <v>941953100000000</v>
      </c>
      <c r="F138" s="33">
        <f t="shared" si="28"/>
        <v>-760092075000000</v>
      </c>
      <c r="G138" s="33">
        <f>F138-F137</f>
        <v>-37804971000000</v>
      </c>
    </row>
    <row r="139" spans="1:7" ht="15.5" x14ac:dyDescent="0.35">
      <c r="A139" s="1">
        <v>138</v>
      </c>
      <c r="B139" s="2"/>
      <c r="C139" s="25">
        <v>2019</v>
      </c>
      <c r="D139" s="27">
        <v>203916767000000</v>
      </c>
      <c r="E139" s="27">
        <v>1025749580000000</v>
      </c>
      <c r="F139" s="33">
        <f t="shared" si="28"/>
        <v>-821832813000000</v>
      </c>
      <c r="G139" s="33">
        <f t="shared" ref="G139:G141" si="30">F139-F138</f>
        <v>-61740738000000</v>
      </c>
    </row>
    <row r="140" spans="1:7" ht="15.5" x14ac:dyDescent="0.35">
      <c r="A140" s="1">
        <v>139</v>
      </c>
      <c r="B140" s="2"/>
      <c r="C140" s="25">
        <v>2020</v>
      </c>
      <c r="D140" s="27">
        <v>245363881000000</v>
      </c>
      <c r="E140" s="27">
        <v>1151267847000000</v>
      </c>
      <c r="F140" s="33">
        <f t="shared" si="28"/>
        <v>-905903966000000</v>
      </c>
      <c r="G140" s="33">
        <f t="shared" si="30"/>
        <v>-84071153000000</v>
      </c>
    </row>
    <row r="141" spans="1:7" ht="15.5" x14ac:dyDescent="0.35">
      <c r="A141" s="1">
        <v>140</v>
      </c>
      <c r="B141" s="2"/>
      <c r="C141" s="25">
        <v>2021</v>
      </c>
      <c r="D141" s="27">
        <v>394284643000000</v>
      </c>
      <c r="E141" s="27">
        <v>1326592237000000</v>
      </c>
      <c r="F141" s="33">
        <f t="shared" si="28"/>
        <v>-932307594000000</v>
      </c>
      <c r="G141" s="33">
        <f t="shared" si="30"/>
        <v>-26403628000000</v>
      </c>
    </row>
    <row r="142" spans="1:7" ht="15.5" x14ac:dyDescent="0.35">
      <c r="A142" s="1">
        <v>141</v>
      </c>
      <c r="B142" s="2" t="s">
        <v>86</v>
      </c>
      <c r="C142" s="25">
        <v>2017</v>
      </c>
      <c r="D142" s="27">
        <v>393059840915</v>
      </c>
      <c r="E142" s="27">
        <v>5651847900990</v>
      </c>
      <c r="F142" s="33">
        <f t="shared" si="28"/>
        <v>-5258788060075</v>
      </c>
      <c r="G142" s="9"/>
    </row>
    <row r="143" spans="1:7" ht="15.5" x14ac:dyDescent="0.35">
      <c r="A143" s="1">
        <v>142</v>
      </c>
      <c r="B143" s="2"/>
      <c r="C143" s="25">
        <v>2018</v>
      </c>
      <c r="D143" s="27">
        <v>386891958251</v>
      </c>
      <c r="E143" s="27">
        <v>5802518829966</v>
      </c>
      <c r="F143" s="33">
        <f t="shared" si="28"/>
        <v>-5415626871715</v>
      </c>
      <c r="G143" s="33">
        <f>F143-F142</f>
        <v>-156838811640</v>
      </c>
    </row>
    <row r="144" spans="1:7" ht="15.5" x14ac:dyDescent="0.35">
      <c r="A144" s="1">
        <v>143</v>
      </c>
      <c r="B144" s="2"/>
      <c r="C144" s="25">
        <v>2019</v>
      </c>
      <c r="D144" s="27">
        <v>246253822177</v>
      </c>
      <c r="E144" s="27">
        <v>6083998151873</v>
      </c>
      <c r="F144" s="33">
        <f t="shared" si="28"/>
        <v>-5837744329696</v>
      </c>
      <c r="G144" s="33">
        <f t="shared" ref="G144:G146" si="31">F144-F143</f>
        <v>-422117457981</v>
      </c>
    </row>
    <row r="145" spans="1:7" ht="15.5" x14ac:dyDescent="0.35">
      <c r="A145" s="1">
        <v>144</v>
      </c>
      <c r="B145" s="2"/>
      <c r="C145" s="25">
        <v>2020</v>
      </c>
      <c r="D145" s="27">
        <v>1392356704295</v>
      </c>
      <c r="E145" s="27">
        <v>6128138202911</v>
      </c>
      <c r="F145" s="33">
        <f t="shared" si="28"/>
        <v>-4735781498616</v>
      </c>
      <c r="G145" s="33">
        <f t="shared" si="31"/>
        <v>1101962831080</v>
      </c>
    </row>
    <row r="146" spans="1:7" ht="15.5" x14ac:dyDescent="0.35">
      <c r="A146" s="1">
        <v>145</v>
      </c>
      <c r="B146" s="2"/>
      <c r="C146" s="25">
        <v>2021</v>
      </c>
      <c r="D146" s="27">
        <v>2352748322436</v>
      </c>
      <c r="E146" s="27">
        <v>6432760566695</v>
      </c>
      <c r="F146" s="33">
        <f t="shared" si="28"/>
        <v>-4080012244259</v>
      </c>
      <c r="G146" s="33">
        <f t="shared" si="31"/>
        <v>655769254357</v>
      </c>
    </row>
    <row r="147" spans="1:7" ht="15.5" x14ac:dyDescent="0.35">
      <c r="A147" s="1">
        <v>146</v>
      </c>
      <c r="B147" s="2" t="s">
        <v>87</v>
      </c>
      <c r="C147" s="25">
        <v>2017</v>
      </c>
      <c r="D147" s="27">
        <v>3049320611000</v>
      </c>
      <c r="E147" s="27">
        <v>13211308495000</v>
      </c>
      <c r="F147" s="33">
        <f t="shared" si="28"/>
        <v>-10161987884000</v>
      </c>
      <c r="G147" s="9"/>
    </row>
    <row r="148" spans="1:7" ht="15.5" x14ac:dyDescent="0.35">
      <c r="A148" s="1">
        <v>147</v>
      </c>
      <c r="B148" s="2"/>
      <c r="C148" s="25">
        <v>2018</v>
      </c>
      <c r="D148" s="27">
        <v>1931590330000</v>
      </c>
      <c r="E148" s="27">
        <v>18889385436000</v>
      </c>
      <c r="F148" s="33">
        <f t="shared" si="28"/>
        <v>-16957795106000</v>
      </c>
      <c r="G148" s="33">
        <f>F148-F147</f>
        <v>-6795807222000</v>
      </c>
    </row>
    <row r="149" spans="1:7" ht="15.5" x14ac:dyDescent="0.35">
      <c r="A149" s="1">
        <v>148</v>
      </c>
      <c r="B149" s="2"/>
      <c r="C149" s="25">
        <v>2019</v>
      </c>
      <c r="D149" s="27">
        <v>5789482357000</v>
      </c>
      <c r="E149" s="27">
        <v>22586218693000</v>
      </c>
      <c r="F149" s="33">
        <f t="shared" si="28"/>
        <v>-16796736336000</v>
      </c>
      <c r="G149" s="33">
        <f t="shared" ref="G149:G151" si="32">F149-F148</f>
        <v>161058770000</v>
      </c>
    </row>
    <row r="150" spans="1:7" ht="15.5" x14ac:dyDescent="0.35">
      <c r="A150" s="1">
        <v>149</v>
      </c>
      <c r="B150" s="2"/>
      <c r="C150" s="25">
        <v>2020</v>
      </c>
      <c r="D150" s="27">
        <v>6408771180000</v>
      </c>
      <c r="E150" s="27">
        <v>23727802051000</v>
      </c>
      <c r="F150" s="33">
        <f t="shared" si="28"/>
        <v>-17319030871000</v>
      </c>
      <c r="G150" s="33">
        <f t="shared" si="32"/>
        <v>-522294535000</v>
      </c>
    </row>
    <row r="151" spans="1:7" ht="15.5" x14ac:dyDescent="0.35">
      <c r="A151" s="1">
        <v>150</v>
      </c>
      <c r="B151" s="2"/>
      <c r="C151" s="25">
        <v>2021</v>
      </c>
      <c r="D151" s="27">
        <v>4142312705000</v>
      </c>
      <c r="E151" s="27">
        <v>14408859476000</v>
      </c>
      <c r="F151" s="33">
        <f t="shared" si="28"/>
        <v>-10266546771000</v>
      </c>
      <c r="G151" s="33">
        <f t="shared" si="32"/>
        <v>7052484100000</v>
      </c>
    </row>
    <row r="152" spans="1:7" ht="15.5" x14ac:dyDescent="0.35">
      <c r="A152" s="1">
        <v>151</v>
      </c>
      <c r="B152" s="2" t="s">
        <v>88</v>
      </c>
      <c r="C152" s="25">
        <v>2017</v>
      </c>
      <c r="D152" s="27">
        <v>3564505000000</v>
      </c>
      <c r="E152" s="27">
        <v>22822617000000</v>
      </c>
      <c r="F152" s="33">
        <f t="shared" si="28"/>
        <v>-19258112000000</v>
      </c>
      <c r="G152" s="9"/>
    </row>
    <row r="153" spans="1:7" ht="15.5" x14ac:dyDescent="0.35">
      <c r="A153" s="1">
        <v>152</v>
      </c>
      <c r="B153" s="2"/>
      <c r="C153" s="25">
        <v>2018</v>
      </c>
      <c r="D153" s="27">
        <v>3371876000000</v>
      </c>
      <c r="E153" s="27">
        <v>23532846000000</v>
      </c>
      <c r="F153" s="33">
        <f t="shared" si="28"/>
        <v>-20160970000000</v>
      </c>
      <c r="G153" s="33">
        <f>F153-F152</f>
        <v>-902858000000</v>
      </c>
    </row>
    <row r="154" spans="1:7" ht="15.5" x14ac:dyDescent="0.35">
      <c r="A154" s="1">
        <v>153</v>
      </c>
      <c r="B154" s="2"/>
      <c r="C154" s="25">
        <v>2019</v>
      </c>
      <c r="D154" s="27">
        <v>5692959000000</v>
      </c>
      <c r="E154" s="27">
        <v>26385919000000</v>
      </c>
      <c r="F154" s="33">
        <f t="shared" si="28"/>
        <v>-20692960000000</v>
      </c>
      <c r="G154" s="33">
        <f t="shared" ref="G154:G156" si="33">F154-F153</f>
        <v>-531990000000</v>
      </c>
    </row>
    <row r="155" spans="1:7" ht="15.5" x14ac:dyDescent="0.35">
      <c r="A155" s="1">
        <v>154</v>
      </c>
      <c r="B155" s="2"/>
      <c r="C155" s="25">
        <v>2020</v>
      </c>
      <c r="D155" s="27">
        <v>13769389000000</v>
      </c>
      <c r="E155" s="27">
        <v>32557921000000</v>
      </c>
      <c r="F155" s="33">
        <f t="shared" si="28"/>
        <v>-18788532000000</v>
      </c>
      <c r="G155" s="33">
        <f t="shared" si="33"/>
        <v>1904428000000</v>
      </c>
    </row>
    <row r="156" spans="1:7" ht="15.5" x14ac:dyDescent="0.35">
      <c r="A156" s="1">
        <v>155</v>
      </c>
      <c r="B156" s="2"/>
      <c r="C156" s="25">
        <v>2021</v>
      </c>
      <c r="D156" s="27">
        <v>16255518000000</v>
      </c>
      <c r="E156" s="27">
        <v>38799669000000</v>
      </c>
      <c r="F156" s="33">
        <f t="shared" si="28"/>
        <v>-22544151000000</v>
      </c>
      <c r="G156" s="33">
        <f t="shared" si="33"/>
        <v>-3755619000000</v>
      </c>
    </row>
    <row r="157" spans="1:7" ht="15.5" x14ac:dyDescent="0.35">
      <c r="A157" s="1">
        <v>156</v>
      </c>
      <c r="B157" s="2" t="s">
        <v>89</v>
      </c>
      <c r="C157" s="25">
        <v>2017</v>
      </c>
      <c r="D157" s="27">
        <v>2914819000000</v>
      </c>
      <c r="E157" s="27">
        <v>23219096000000</v>
      </c>
      <c r="F157" s="33">
        <f t="shared" si="28"/>
        <v>-20304277000000</v>
      </c>
      <c r="G157" s="9"/>
    </row>
    <row r="158" spans="1:7" ht="15.5" x14ac:dyDescent="0.35">
      <c r="A158" s="1">
        <v>157</v>
      </c>
      <c r="B158" s="2"/>
      <c r="C158" s="25">
        <v>2018</v>
      </c>
      <c r="D158" s="27">
        <v>2505522000000</v>
      </c>
      <c r="E158" s="27">
        <v>21438077000000</v>
      </c>
      <c r="F158" s="33">
        <f t="shared" si="28"/>
        <v>-18932555000000</v>
      </c>
      <c r="G158" s="33">
        <f>F158-F157</f>
        <v>1371722000000</v>
      </c>
    </row>
    <row r="159" spans="1:7" ht="15.5" x14ac:dyDescent="0.35">
      <c r="A159" s="1">
        <v>158</v>
      </c>
      <c r="B159" s="2"/>
      <c r="C159" s="25">
        <v>2019</v>
      </c>
      <c r="D159" s="27">
        <v>3463324000000</v>
      </c>
      <c r="E159" s="27">
        <v>20995806000000</v>
      </c>
      <c r="F159" s="33">
        <f t="shared" si="28"/>
        <v>-17532482000000</v>
      </c>
      <c r="G159" s="33">
        <f t="shared" ref="G159:G161" si="34">F159-F158</f>
        <v>1400073000000</v>
      </c>
    </row>
    <row r="160" spans="1:7" ht="15.5" x14ac:dyDescent="0.35">
      <c r="A160" s="1">
        <v>159</v>
      </c>
      <c r="B160" s="2"/>
      <c r="C160" s="25">
        <v>2020</v>
      </c>
      <c r="D160" s="27">
        <v>9732310000000</v>
      </c>
      <c r="E160" s="27">
        <v>26967430000000</v>
      </c>
      <c r="F160" s="33">
        <f t="shared" si="28"/>
        <v>-17235120000000</v>
      </c>
      <c r="G160" s="33">
        <f t="shared" si="34"/>
        <v>297362000000</v>
      </c>
    </row>
    <row r="161" spans="1:7" ht="15.5" x14ac:dyDescent="0.35">
      <c r="A161" s="1">
        <v>160</v>
      </c>
      <c r="B161" s="2"/>
      <c r="C161" s="25">
        <v>2021</v>
      </c>
      <c r="D161" s="27">
        <v>5540238000000</v>
      </c>
      <c r="E161" s="27">
        <v>22173871000000</v>
      </c>
      <c r="F161" s="33">
        <f t="shared" si="28"/>
        <v>-16633633000000</v>
      </c>
      <c r="G161" s="33">
        <f t="shared" si="34"/>
        <v>601487000000</v>
      </c>
    </row>
    <row r="162" spans="1:7" ht="15.5" x14ac:dyDescent="0.35">
      <c r="A162" s="1">
        <v>166</v>
      </c>
      <c r="B162" s="2" t="s">
        <v>90</v>
      </c>
      <c r="C162" s="25">
        <v>2017</v>
      </c>
      <c r="D162" s="27">
        <v>26078358000000</v>
      </c>
      <c r="E162" s="27">
        <v>69232394000000</v>
      </c>
      <c r="F162" s="33">
        <f t="shared" si="28"/>
        <v>-43154036000000</v>
      </c>
      <c r="G162" s="9"/>
    </row>
    <row r="163" spans="1:7" ht="15.5" x14ac:dyDescent="0.35">
      <c r="A163" s="1">
        <v>167</v>
      </c>
      <c r="B163" s="2"/>
      <c r="C163" s="25">
        <v>2018</v>
      </c>
      <c r="D163" s="27">
        <v>24808982000000</v>
      </c>
      <c r="E163" s="27">
        <v>69979237000000</v>
      </c>
      <c r="F163" s="33">
        <f t="shared" si="28"/>
        <v>-45170255000000</v>
      </c>
      <c r="G163" s="33">
        <f>F163-F162</f>
        <v>-2016219000000</v>
      </c>
    </row>
    <row r="164" spans="1:7" ht="15.5" x14ac:dyDescent="0.35">
      <c r="A164" s="1">
        <v>168</v>
      </c>
      <c r="B164" s="2"/>
      <c r="C164" s="25">
        <v>2019</v>
      </c>
      <c r="D164" s="27">
        <v>25093343000000</v>
      </c>
      <c r="E164" s="27">
        <v>85262393000000</v>
      </c>
      <c r="F164" s="33">
        <f t="shared" si="28"/>
        <v>-60169050000000</v>
      </c>
      <c r="G164" s="33">
        <f t="shared" ref="G164:G166" si="35">F164-F163</f>
        <v>-14998795000000</v>
      </c>
    </row>
    <row r="165" spans="1:7" ht="15.5" x14ac:dyDescent="0.35">
      <c r="A165" s="1">
        <v>169</v>
      </c>
      <c r="B165" s="2"/>
      <c r="C165" s="25">
        <v>2020</v>
      </c>
      <c r="D165" s="27">
        <v>46384873000000</v>
      </c>
      <c r="E165" s="27">
        <v>93994503000000</v>
      </c>
      <c r="F165" s="33">
        <f t="shared" si="28"/>
        <v>-47609630000000</v>
      </c>
      <c r="G165" s="33">
        <f t="shared" si="35"/>
        <v>12559420000000</v>
      </c>
    </row>
    <row r="166" spans="1:7" ht="15.5" x14ac:dyDescent="0.35">
      <c r="A166" s="1">
        <v>170</v>
      </c>
      <c r="B166" s="2"/>
      <c r="C166" s="25">
        <v>2021</v>
      </c>
      <c r="D166" s="27">
        <v>45473587000000</v>
      </c>
      <c r="E166" s="27">
        <v>113734926000000</v>
      </c>
      <c r="F166" s="33">
        <f t="shared" si="28"/>
        <v>-68261339000000</v>
      </c>
      <c r="G166" s="33">
        <f t="shared" si="35"/>
        <v>-20651709000000</v>
      </c>
    </row>
    <row r="167" spans="1:7" ht="15.5" x14ac:dyDescent="0.35">
      <c r="A167" s="1">
        <v>171</v>
      </c>
      <c r="B167" s="2" t="s">
        <v>91</v>
      </c>
      <c r="C167" s="25">
        <v>2017</v>
      </c>
      <c r="D167" s="27">
        <v>43060375000</v>
      </c>
      <c r="E167" s="27">
        <v>2458396045000</v>
      </c>
      <c r="F167" s="33">
        <f t="shared" si="28"/>
        <v>-2415335670000</v>
      </c>
      <c r="G167" s="9"/>
    </row>
    <row r="168" spans="1:7" ht="15.5" x14ac:dyDescent="0.35">
      <c r="A168" s="1">
        <v>172</v>
      </c>
      <c r="B168" s="2"/>
      <c r="C168" s="25">
        <v>2018</v>
      </c>
      <c r="D168" s="27">
        <v>149922804000</v>
      </c>
      <c r="E168" s="27">
        <v>1840045168000</v>
      </c>
      <c r="F168" s="33">
        <f t="shared" si="28"/>
        <v>-1690122364000</v>
      </c>
      <c r="G168" s="33">
        <f>F168-F167</f>
        <v>725213306000</v>
      </c>
    </row>
    <row r="169" spans="1:7" ht="15.5" x14ac:dyDescent="0.35">
      <c r="A169" s="1">
        <v>173</v>
      </c>
      <c r="B169" s="2"/>
      <c r="C169" s="25">
        <v>2019</v>
      </c>
      <c r="D169" s="27">
        <v>344783013000</v>
      </c>
      <c r="E169" s="27">
        <v>2193136067000</v>
      </c>
      <c r="F169" s="33">
        <f t="shared" si="28"/>
        <v>-1848353054000</v>
      </c>
      <c r="G169" s="33">
        <f t="shared" ref="G169:G171" si="36">F169-F168</f>
        <v>-158230690000</v>
      </c>
    </row>
    <row r="170" spans="1:7" ht="15.5" x14ac:dyDescent="0.35">
      <c r="A170" s="1">
        <v>174</v>
      </c>
      <c r="B170" s="2"/>
      <c r="C170" s="25">
        <v>2020</v>
      </c>
      <c r="D170" s="27">
        <v>274268120000</v>
      </c>
      <c r="E170" s="27">
        <v>1854045110000</v>
      </c>
      <c r="F170" s="33">
        <f t="shared" si="28"/>
        <v>-1579776990000</v>
      </c>
      <c r="G170" s="33">
        <f t="shared" si="36"/>
        <v>268576064000</v>
      </c>
    </row>
    <row r="171" spans="1:7" ht="15.5" x14ac:dyDescent="0.35">
      <c r="A171" s="1">
        <v>175</v>
      </c>
      <c r="B171" s="2"/>
      <c r="C171" s="25">
        <v>2021</v>
      </c>
      <c r="D171" s="27">
        <v>291099683000</v>
      </c>
      <c r="E171" s="27">
        <v>942670369000</v>
      </c>
      <c r="F171" s="33">
        <f t="shared" si="28"/>
        <v>-651570686000</v>
      </c>
      <c r="G171" s="33">
        <f t="shared" si="36"/>
        <v>928206304000</v>
      </c>
    </row>
    <row r="172" spans="1:7" ht="15.5" x14ac:dyDescent="0.35">
      <c r="A172" s="1">
        <v>176</v>
      </c>
      <c r="B172" s="2" t="s">
        <v>92</v>
      </c>
      <c r="C172" s="25">
        <v>2017</v>
      </c>
      <c r="D172" s="27">
        <v>26812779000000</v>
      </c>
      <c r="E172" s="27">
        <v>131989603000000</v>
      </c>
      <c r="F172" s="33">
        <f t="shared" si="28"/>
        <v>-105176824000000</v>
      </c>
      <c r="G172" s="9"/>
    </row>
    <row r="173" spans="1:7" x14ac:dyDescent="0.35">
      <c r="A173" s="1">
        <v>177</v>
      </c>
      <c r="B173" s="9"/>
      <c r="C173" s="25">
        <v>2018</v>
      </c>
      <c r="D173" s="27">
        <v>32198245000000</v>
      </c>
      <c r="E173" s="27">
        <v>149154640000000</v>
      </c>
      <c r="F173" s="33">
        <f t="shared" si="28"/>
        <v>-116956395000000</v>
      </c>
      <c r="G173" s="33">
        <f>F173-F172</f>
        <v>-11779571000000</v>
      </c>
    </row>
    <row r="174" spans="1:7" x14ac:dyDescent="0.35">
      <c r="A174" s="1">
        <v>178</v>
      </c>
      <c r="B174" s="9"/>
      <c r="C174" s="25">
        <v>2019</v>
      </c>
      <c r="D174" s="27">
        <v>32942257000000</v>
      </c>
      <c r="E174" s="27">
        <v>153042184000000</v>
      </c>
      <c r="F174" s="33">
        <f t="shared" si="28"/>
        <v>-120099927000000</v>
      </c>
      <c r="G174" s="33">
        <f t="shared" ref="G174:G176" si="37">F174-F173</f>
        <v>-3143532000000</v>
      </c>
    </row>
    <row r="175" spans="1:7" x14ac:dyDescent="0.35">
      <c r="A175" s="1">
        <v>179</v>
      </c>
      <c r="B175" s="9"/>
      <c r="C175" s="25">
        <v>2020</v>
      </c>
      <c r="D175" s="27">
        <v>73377168000000</v>
      </c>
      <c r="E175" s="27">
        <v>176467884000000</v>
      </c>
      <c r="F175" s="33">
        <f t="shared" si="28"/>
        <v>-103090716000000</v>
      </c>
      <c r="G175" s="33">
        <f t="shared" si="37"/>
        <v>17009211000000</v>
      </c>
    </row>
    <row r="176" spans="1:7" x14ac:dyDescent="0.35">
      <c r="A176" s="1">
        <v>180</v>
      </c>
      <c r="B176" s="9"/>
      <c r="C176" s="25">
        <v>2021</v>
      </c>
      <c r="D176" s="27">
        <v>76752123000000</v>
      </c>
      <c r="E176" s="27">
        <v>182068037000000</v>
      </c>
      <c r="F176" s="33">
        <f t="shared" si="28"/>
        <v>-105315914000000</v>
      </c>
      <c r="G176" s="33">
        <f t="shared" si="37"/>
        <v>-2225198000000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EBB27-7CAE-4610-BE07-37850AA30357}">
  <dimension ref="A1:I176"/>
  <sheetViews>
    <sheetView topLeftCell="B1" workbookViewId="0">
      <selection activeCell="G3" sqref="G3"/>
    </sheetView>
  </sheetViews>
  <sheetFormatPr defaultRowHeight="14.5" x14ac:dyDescent="0.35"/>
  <cols>
    <col min="2" max="2" width="11.26953125" bestFit="1" customWidth="1"/>
    <col min="4" max="6" width="20.90625" bestFit="1" customWidth="1"/>
    <col min="7" max="8" width="22" bestFit="1" customWidth="1"/>
    <col min="9" max="9" width="12.4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43</v>
      </c>
      <c r="E1" s="1" t="s">
        <v>53</v>
      </c>
      <c r="F1" s="1" t="s">
        <v>55</v>
      </c>
      <c r="G1" s="1" t="s">
        <v>57</v>
      </c>
      <c r="H1" s="1" t="s">
        <v>56</v>
      </c>
      <c r="I1" s="1" t="s">
        <v>58</v>
      </c>
    </row>
    <row r="2" spans="1:9" x14ac:dyDescent="0.35">
      <c r="A2" s="1">
        <v>1</v>
      </c>
      <c r="B2" s="1" t="s">
        <v>3</v>
      </c>
      <c r="C2" s="1">
        <v>2017</v>
      </c>
      <c r="D2" s="20">
        <f>WC!G2</f>
        <v>0</v>
      </c>
      <c r="E2" s="20">
        <f>NCO!O2</f>
        <v>0</v>
      </c>
      <c r="F2" s="20">
        <f>FIN!G2</f>
        <v>0</v>
      </c>
      <c r="G2" s="20">
        <f>D2+E2+F2</f>
        <v>0</v>
      </c>
      <c r="H2" s="20">
        <f>'Average Total Assets'!F2</f>
        <v>436601081601</v>
      </c>
      <c r="I2" s="9">
        <f>G2/H2</f>
        <v>0</v>
      </c>
    </row>
    <row r="3" spans="1:9" ht="15.5" x14ac:dyDescent="0.35">
      <c r="A3" s="1">
        <v>2</v>
      </c>
      <c r="B3" s="2" t="s">
        <v>3</v>
      </c>
      <c r="C3" s="1">
        <v>2018</v>
      </c>
      <c r="D3" s="20">
        <f>WC!G3</f>
        <v>1521413070</v>
      </c>
      <c r="E3" s="20">
        <f>NCO!O3</f>
        <v>12628175399</v>
      </c>
      <c r="F3" s="20">
        <f>FIN!G3</f>
        <v>-33807281657</v>
      </c>
      <c r="G3" s="20">
        <f t="shared" ref="G3:G66" si="0">D3+E3+F3</f>
        <v>-19657693188</v>
      </c>
      <c r="H3" s="20">
        <f>'Average Total Assets'!F3</f>
        <v>462273748120.5</v>
      </c>
      <c r="I3" s="9">
        <f t="shared" ref="I3:I66" si="1">G3/H3</f>
        <v>-4.2523922822621255E-2</v>
      </c>
    </row>
    <row r="4" spans="1:9" ht="15.5" x14ac:dyDescent="0.35">
      <c r="A4" s="1">
        <v>3</v>
      </c>
      <c r="B4" s="2" t="s">
        <v>3</v>
      </c>
      <c r="C4" s="1">
        <v>2019</v>
      </c>
      <c r="D4" s="20">
        <f>WC!G4</f>
        <v>-672457793</v>
      </c>
      <c r="E4" s="20">
        <f>NCO!O4</f>
        <v>64457514184</v>
      </c>
      <c r="F4" s="20">
        <f>FIN!G4</f>
        <v>-63692083280</v>
      </c>
      <c r="G4" s="20">
        <f t="shared" si="0"/>
        <v>92973111</v>
      </c>
      <c r="H4" s="20">
        <f>'Average Total Assets'!F4</f>
        <v>463054828908.5</v>
      </c>
      <c r="I4" s="9">
        <f t="shared" si="1"/>
        <v>2.0078207848334858E-4</v>
      </c>
    </row>
    <row r="5" spans="1:9" ht="15.5" x14ac:dyDescent="0.35">
      <c r="A5" s="1">
        <v>4</v>
      </c>
      <c r="B5" s="2" t="s">
        <v>3</v>
      </c>
      <c r="C5" s="1">
        <v>2020</v>
      </c>
      <c r="D5" s="20">
        <f>WC!G5</f>
        <v>43244267692</v>
      </c>
      <c r="E5" s="20">
        <f>NCO!O5</f>
        <v>-57080103247</v>
      </c>
      <c r="F5" s="20">
        <f>FIN!G5</f>
        <v>103989523386</v>
      </c>
      <c r="G5" s="20">
        <f t="shared" si="0"/>
        <v>90153687831</v>
      </c>
      <c r="H5" s="20">
        <f>'Average Total Assets'!F5</f>
        <v>406717116516</v>
      </c>
      <c r="I5" s="9">
        <f t="shared" si="1"/>
        <v>0.22166189759425434</v>
      </c>
    </row>
    <row r="6" spans="1:9" ht="15.5" x14ac:dyDescent="0.35">
      <c r="A6" s="1">
        <v>5</v>
      </c>
      <c r="B6" s="2" t="s">
        <v>3</v>
      </c>
      <c r="C6" s="1">
        <v>2021</v>
      </c>
      <c r="D6" s="20">
        <f>WC!G6</f>
        <v>24914326988</v>
      </c>
      <c r="E6" s="20">
        <f>NCO!O6</f>
        <v>-2228098267</v>
      </c>
      <c r="F6" s="20">
        <f>FIN!G6</f>
        <v>23438767164</v>
      </c>
      <c r="G6" s="20">
        <f t="shared" si="0"/>
        <v>46124995885</v>
      </c>
      <c r="H6" s="20">
        <f>'Average Total Assets'!F6</f>
        <v>446808076450.5</v>
      </c>
      <c r="I6" s="9">
        <f t="shared" si="1"/>
        <v>0.10323223396368036</v>
      </c>
    </row>
    <row r="7" spans="1:9" ht="15.5" x14ac:dyDescent="0.35">
      <c r="A7" s="1">
        <v>6</v>
      </c>
      <c r="B7" s="2" t="s">
        <v>4</v>
      </c>
      <c r="C7" s="1">
        <v>2017</v>
      </c>
      <c r="D7" s="20">
        <f>WC!G7</f>
        <v>0</v>
      </c>
      <c r="E7" s="20">
        <f>NCO!O7</f>
        <v>0</v>
      </c>
      <c r="F7" s="20">
        <f>FIN!G7</f>
        <v>0</v>
      </c>
      <c r="G7" s="20">
        <f t="shared" si="0"/>
        <v>0</v>
      </c>
      <c r="H7" s="20">
        <f>'Average Total Assets'!F7</f>
        <v>738070719612.5</v>
      </c>
      <c r="I7" s="9">
        <f t="shared" si="1"/>
        <v>0</v>
      </c>
    </row>
    <row r="8" spans="1:9" x14ac:dyDescent="0.35">
      <c r="A8" s="1">
        <v>7</v>
      </c>
      <c r="B8" s="1" t="s">
        <v>4</v>
      </c>
      <c r="C8" s="1">
        <v>2018</v>
      </c>
      <c r="D8" s="20">
        <f>WC!G8</f>
        <v>29454981653</v>
      </c>
      <c r="E8" s="20">
        <f>NCO!O8</f>
        <v>-28350108816</v>
      </c>
      <c r="F8" s="20">
        <f>FIN!G8</f>
        <v>12015660735</v>
      </c>
      <c r="G8" s="20">
        <f t="shared" si="0"/>
        <v>13120533572</v>
      </c>
      <c r="H8" s="20">
        <f>'Average Total Assets'!F8</f>
        <v>914178422228</v>
      </c>
      <c r="I8" s="9">
        <f t="shared" si="1"/>
        <v>1.4352267842882517E-2</v>
      </c>
    </row>
    <row r="9" spans="1:9" x14ac:dyDescent="0.35">
      <c r="A9" s="1">
        <v>8</v>
      </c>
      <c r="B9" s="1" t="s">
        <v>4</v>
      </c>
      <c r="C9" s="1">
        <v>2019</v>
      </c>
      <c r="D9" s="20">
        <f>WC!G9</f>
        <v>27253775692</v>
      </c>
      <c r="E9" s="20">
        <f>NCO!O9</f>
        <v>3105491375</v>
      </c>
      <c r="F9" s="20">
        <f>FIN!G9</f>
        <v>6465477531</v>
      </c>
      <c r="G9" s="20">
        <f t="shared" si="0"/>
        <v>36824744598</v>
      </c>
      <c r="H9" s="20">
        <f>'Average Total Assets'!F9</f>
        <v>972777011834.5</v>
      </c>
      <c r="I9" s="9">
        <f t="shared" si="1"/>
        <v>3.7855278393713776E-2</v>
      </c>
    </row>
    <row r="10" spans="1:9" x14ac:dyDescent="0.35">
      <c r="A10" s="1">
        <v>9</v>
      </c>
      <c r="B10" s="1" t="s">
        <v>4</v>
      </c>
      <c r="C10" s="1">
        <v>2020</v>
      </c>
      <c r="D10" s="20">
        <f>WC!G10</f>
        <v>244470213658</v>
      </c>
      <c r="E10" s="20">
        <f>NCO!O10</f>
        <v>-129198815692</v>
      </c>
      <c r="F10" s="20">
        <f>FIN!G10</f>
        <v>-311588716626</v>
      </c>
      <c r="G10" s="20">
        <f t="shared" si="0"/>
        <v>-196317318660</v>
      </c>
      <c r="H10" s="20">
        <f>'Average Total Assets'!F10</f>
        <v>983339603378.5</v>
      </c>
      <c r="I10" s="9">
        <f t="shared" si="1"/>
        <v>-0.19964345785068005</v>
      </c>
    </row>
    <row r="11" spans="1:9" x14ac:dyDescent="0.35">
      <c r="A11" s="1">
        <v>10</v>
      </c>
      <c r="B11" s="1" t="s">
        <v>4</v>
      </c>
      <c r="C11" s="1">
        <v>2021</v>
      </c>
      <c r="D11" s="20">
        <f>WC!G11</f>
        <v>-91687444705</v>
      </c>
      <c r="E11" s="20">
        <f>NCO!O11</f>
        <v>-6657574909</v>
      </c>
      <c r="F11" s="20">
        <f>FIN!G11</f>
        <v>106044106915</v>
      </c>
      <c r="G11" s="20">
        <f t="shared" si="0"/>
        <v>7699087301</v>
      </c>
      <c r="H11" s="20">
        <f>'Average Total Assets'!F11</f>
        <v>986040658507</v>
      </c>
      <c r="I11" s="9">
        <f t="shared" si="1"/>
        <v>7.8080829979744124E-3</v>
      </c>
    </row>
    <row r="12" spans="1:9" x14ac:dyDescent="0.35">
      <c r="A12" s="1">
        <v>11</v>
      </c>
      <c r="B12" s="1" t="s">
        <v>5</v>
      </c>
      <c r="C12" s="1">
        <v>2017</v>
      </c>
      <c r="D12" s="20">
        <f>WC!G12</f>
        <v>0</v>
      </c>
      <c r="E12" s="20">
        <f>NCO!O12</f>
        <v>0</v>
      </c>
      <c r="F12" s="20">
        <f>FIN!G12</f>
        <v>0</v>
      </c>
      <c r="G12" s="20">
        <f t="shared" si="0"/>
        <v>0</v>
      </c>
      <c r="H12" s="20">
        <f>'Average Total Assets'!F12</f>
        <v>656180982000000</v>
      </c>
      <c r="I12" s="9">
        <f t="shared" si="1"/>
        <v>0</v>
      </c>
    </row>
    <row r="13" spans="1:9" x14ac:dyDescent="0.35">
      <c r="A13" s="1">
        <v>12</v>
      </c>
      <c r="B13" s="1" t="s">
        <v>5</v>
      </c>
      <c r="C13" s="1">
        <v>2018</v>
      </c>
      <c r="D13" s="20">
        <f>WC!G13</f>
        <v>28347174409800</v>
      </c>
      <c r="E13" s="20">
        <f>NCO!O13</f>
        <v>8166604590200</v>
      </c>
      <c r="F13" s="20">
        <f>FIN!G13</f>
        <v>-85003029000000</v>
      </c>
      <c r="G13" s="20">
        <f t="shared" si="0"/>
        <v>-48489250000000</v>
      </c>
      <c r="H13" s="20">
        <f>'Average Total Assets'!F13</f>
        <v>758951047500000</v>
      </c>
      <c r="I13" s="9">
        <f t="shared" si="1"/>
        <v>-6.3889825516052143E-2</v>
      </c>
    </row>
    <row r="14" spans="1:9" x14ac:dyDescent="0.35">
      <c r="A14" s="1">
        <v>13</v>
      </c>
      <c r="B14" s="1" t="s">
        <v>5</v>
      </c>
      <c r="C14" s="1">
        <v>2019</v>
      </c>
      <c r="D14" s="20">
        <f>WC!G14</f>
        <v>27660391012536</v>
      </c>
      <c r="E14" s="20">
        <f>NCO!O14</f>
        <v>-11968999012536</v>
      </c>
      <c r="F14" s="20">
        <f>FIN!G14</f>
        <v>-27566175000000</v>
      </c>
      <c r="G14" s="20">
        <f t="shared" si="0"/>
        <v>-11874783000000</v>
      </c>
      <c r="H14" s="20">
        <f>'Average Total Assets'!F14</f>
        <v>827088609500000</v>
      </c>
      <c r="I14" s="9">
        <f t="shared" si="1"/>
        <v>-1.4357328662981665E-2</v>
      </c>
    </row>
    <row r="15" spans="1:9" x14ac:dyDescent="0.35">
      <c r="A15" s="1">
        <v>14</v>
      </c>
      <c r="B15" s="1" t="s">
        <v>5</v>
      </c>
      <c r="C15" s="1">
        <v>2020</v>
      </c>
      <c r="D15" s="20">
        <f>WC!G15</f>
        <v>-50852600000000</v>
      </c>
      <c r="E15" s="20">
        <f>NCO!O15</f>
        <v>5226634000000</v>
      </c>
      <c r="F15" s="20">
        <f>FIN!G15</f>
        <v>-37046444000000</v>
      </c>
      <c r="G15" s="20">
        <f t="shared" si="0"/>
        <v>-82672410000000</v>
      </c>
      <c r="H15" s="20">
        <f>'Average Total Assets'!F15</f>
        <v>868471316500000</v>
      </c>
      <c r="I15" s="9">
        <f t="shared" si="1"/>
        <v>-9.5193022992602197E-2</v>
      </c>
    </row>
    <row r="16" spans="1:9" x14ac:dyDescent="0.35">
      <c r="A16" s="1">
        <v>15</v>
      </c>
      <c r="B16" s="1" t="s">
        <v>5</v>
      </c>
      <c r="C16" s="1">
        <v>2021</v>
      </c>
      <c r="D16" s="20">
        <f>WC!G16</f>
        <v>-48223966000000</v>
      </c>
      <c r="E16" s="20">
        <f>NCO!O16</f>
        <v>-6333758000000</v>
      </c>
      <c r="F16" s="20">
        <f>FIN!G16</f>
        <v>-53146716000000</v>
      </c>
      <c r="G16" s="20">
        <f t="shared" si="0"/>
        <v>-107704440000000</v>
      </c>
      <c r="H16" s="20">
        <f>'Average Total Assets'!F16</f>
        <v>928087558500000</v>
      </c>
      <c r="I16" s="9">
        <f t="shared" si="1"/>
        <v>-0.11604986944774349</v>
      </c>
    </row>
    <row r="17" spans="1:9" x14ac:dyDescent="0.35">
      <c r="A17" s="1">
        <v>16</v>
      </c>
      <c r="B17" s="1" t="s">
        <v>6</v>
      </c>
      <c r="C17" s="1">
        <v>2017</v>
      </c>
      <c r="D17" s="20">
        <f>WC!G17</f>
        <v>0</v>
      </c>
      <c r="E17" s="20">
        <f>NCO!O17</f>
        <v>0</v>
      </c>
      <c r="F17" s="20">
        <f>FIN!G17</f>
        <v>0</v>
      </c>
      <c r="G17" s="20">
        <f t="shared" si="0"/>
        <v>0</v>
      </c>
      <c r="H17" s="20">
        <f>'Average Total Assets'!F17</f>
        <v>237766873000000</v>
      </c>
      <c r="I17" s="9">
        <f t="shared" si="1"/>
        <v>0</v>
      </c>
    </row>
    <row r="18" spans="1:9" x14ac:dyDescent="0.35">
      <c r="A18" s="1">
        <v>17</v>
      </c>
      <c r="B18" s="1" t="s">
        <v>6</v>
      </c>
      <c r="C18" s="1">
        <v>2018</v>
      </c>
      <c r="D18" s="20">
        <f>WC!G18</f>
        <v>42704517000000</v>
      </c>
      <c r="E18" s="20">
        <f>NCO!O18</f>
        <v>159748000000</v>
      </c>
      <c r="F18" s="20">
        <f>FIN!G18</f>
        <v>-40494935000000</v>
      </c>
      <c r="G18" s="20">
        <f t="shared" si="0"/>
        <v>2369330000000</v>
      </c>
      <c r="H18" s="20">
        <f>'Average Total Assets'!F18</f>
        <v>283900730500000</v>
      </c>
      <c r="I18" s="9">
        <f t="shared" si="1"/>
        <v>8.3456284026715462E-3</v>
      </c>
    </row>
    <row r="19" spans="1:9" x14ac:dyDescent="0.35">
      <c r="A19" s="1">
        <v>18</v>
      </c>
      <c r="B19" s="1" t="s">
        <v>6</v>
      </c>
      <c r="C19" s="1">
        <v>2019</v>
      </c>
      <c r="D19" s="20">
        <f>WC!G19</f>
        <v>-13356782000000</v>
      </c>
      <c r="E19" s="20">
        <f>NCO!O19</f>
        <v>16165786000000</v>
      </c>
      <c r="F19" s="20">
        <f>FIN!G19</f>
        <v>104205000000</v>
      </c>
      <c r="G19" s="20">
        <f t="shared" si="0"/>
        <v>2913209000000</v>
      </c>
      <c r="H19" s="20">
        <f>'Average Total Assets'!F19</f>
        <v>309106511000000</v>
      </c>
      <c r="I19" s="9">
        <f t="shared" si="1"/>
        <v>9.4246122172431373E-3</v>
      </c>
    </row>
    <row r="20" spans="1:9" x14ac:dyDescent="0.35">
      <c r="A20" s="1">
        <v>19</v>
      </c>
      <c r="B20" s="1" t="s">
        <v>6</v>
      </c>
      <c r="C20" s="1">
        <v>2020</v>
      </c>
      <c r="D20" s="20">
        <f>WC!G20</f>
        <v>1240644000000</v>
      </c>
      <c r="E20" s="20">
        <f>NCO!O20</f>
        <v>-3284990000000</v>
      </c>
      <c r="F20" s="20">
        <f>FIN!G20</f>
        <v>-12491281000000</v>
      </c>
      <c r="G20" s="20">
        <f t="shared" si="0"/>
        <v>-14535627000000</v>
      </c>
      <c r="H20" s="20">
        <f>'Average Total Assets'!F20</f>
        <v>336492617000000</v>
      </c>
      <c r="I20" s="9">
        <f t="shared" si="1"/>
        <v>-4.3197461892603727E-2</v>
      </c>
    </row>
    <row r="21" spans="1:9" x14ac:dyDescent="0.35">
      <c r="A21" s="1">
        <v>20</v>
      </c>
      <c r="B21" s="1" t="s">
        <v>6</v>
      </c>
      <c r="C21" s="1">
        <v>2021</v>
      </c>
      <c r="D21" s="20">
        <f>WC!G21</f>
        <v>5138999000000</v>
      </c>
      <c r="E21" s="20">
        <f>NCO!O21</f>
        <v>5241969000000</v>
      </c>
      <c r="F21" s="20">
        <f>FIN!G21</f>
        <v>-16854594000000</v>
      </c>
      <c r="G21" s="20">
        <f t="shared" si="0"/>
        <v>-6473626000000</v>
      </c>
      <c r="H21" s="20">
        <f>'Average Total Assets'!F21</f>
        <v>366538358500000</v>
      </c>
      <c r="I21" s="9">
        <f t="shared" si="1"/>
        <v>-1.7661523957525991E-2</v>
      </c>
    </row>
    <row r="22" spans="1:9" x14ac:dyDescent="0.35">
      <c r="A22" s="1">
        <v>21</v>
      </c>
      <c r="B22" s="1" t="s">
        <v>7</v>
      </c>
      <c r="C22" s="1">
        <v>2017</v>
      </c>
      <c r="D22" s="20">
        <f>WC!G22</f>
        <v>0</v>
      </c>
      <c r="E22" s="20">
        <f>NCO!O22</f>
        <v>0</v>
      </c>
      <c r="F22" s="20">
        <f>FIN!G22</f>
        <v>0</v>
      </c>
      <c r="G22" s="20">
        <f t="shared" si="0"/>
        <v>0</v>
      </c>
      <c r="H22" s="20">
        <f>'Average Total Assets'!F22</f>
        <v>21049641000000</v>
      </c>
      <c r="I22" s="9">
        <f t="shared" si="1"/>
        <v>0</v>
      </c>
    </row>
    <row r="23" spans="1:9" x14ac:dyDescent="0.35">
      <c r="A23" s="1">
        <v>22</v>
      </c>
      <c r="B23" s="1" t="s">
        <v>7</v>
      </c>
      <c r="C23" s="1">
        <v>2018</v>
      </c>
      <c r="D23" s="20">
        <f>WC!G23</f>
        <v>-1261056000000</v>
      </c>
      <c r="E23" s="20">
        <f>NCO!O23</f>
        <v>578426000000</v>
      </c>
      <c r="F23" s="20">
        <f>FIN!G23</f>
        <v>1170710000000</v>
      </c>
      <c r="G23" s="20">
        <f t="shared" si="0"/>
        <v>488080000000</v>
      </c>
      <c r="H23" s="20">
        <f>'Average Total Assets'!F23</f>
        <v>19322993500000</v>
      </c>
      <c r="I23" s="9">
        <f t="shared" si="1"/>
        <v>2.5259026247667061E-2</v>
      </c>
    </row>
    <row r="24" spans="1:9" x14ac:dyDescent="0.35">
      <c r="A24" s="1">
        <v>23</v>
      </c>
      <c r="B24" s="1" t="s">
        <v>7</v>
      </c>
      <c r="C24" s="1">
        <v>2019</v>
      </c>
      <c r="D24" s="20">
        <f>WC!G24</f>
        <v>-1065984000000</v>
      </c>
      <c r="E24" s="20">
        <f>NCO!O24</f>
        <v>690436000000</v>
      </c>
      <c r="F24" s="20">
        <f>FIN!G24</f>
        <v>-7826000000</v>
      </c>
      <c r="G24" s="20">
        <f t="shared" si="0"/>
        <v>-383374000000</v>
      </c>
      <c r="H24" s="20">
        <f>'Average Total Assets'!F24</f>
        <v>18573864500000</v>
      </c>
      <c r="I24" s="9">
        <f t="shared" si="1"/>
        <v>-2.0640508064436455E-2</v>
      </c>
    </row>
    <row r="25" spans="1:9" x14ac:dyDescent="0.35">
      <c r="A25" s="1">
        <v>24</v>
      </c>
      <c r="B25" s="1" t="s">
        <v>7</v>
      </c>
      <c r="C25" s="1">
        <v>2020</v>
      </c>
      <c r="D25" s="20">
        <f>WC!G25</f>
        <v>-843783000000</v>
      </c>
      <c r="E25" s="20">
        <f>NCO!O25</f>
        <v>5484000000</v>
      </c>
      <c r="F25" s="20">
        <f>FIN!G25</f>
        <v>-1145414000000</v>
      </c>
      <c r="G25" s="20">
        <f t="shared" si="0"/>
        <v>-1983713000000</v>
      </c>
      <c r="H25" s="20">
        <f>'Average Total Assets'!F25</f>
        <v>18743275500000</v>
      </c>
      <c r="I25" s="9">
        <f t="shared" si="1"/>
        <v>-0.10583598368385505</v>
      </c>
    </row>
    <row r="26" spans="1:9" x14ac:dyDescent="0.35">
      <c r="A26" s="1">
        <v>25</v>
      </c>
      <c r="B26" s="1" t="s">
        <v>7</v>
      </c>
      <c r="C26" s="1">
        <v>2021</v>
      </c>
      <c r="D26" s="20">
        <f>WC!G26</f>
        <v>-648560000000</v>
      </c>
      <c r="E26" s="20">
        <f>NCO!O26</f>
        <v>1005316000000</v>
      </c>
      <c r="F26" s="20">
        <f>FIN!G26</f>
        <v>-1100866000000</v>
      </c>
      <c r="G26" s="20">
        <f t="shared" si="0"/>
        <v>-744110000000</v>
      </c>
      <c r="H26" s="20">
        <f>'Average Total Assets'!F26</f>
        <v>20377757000000</v>
      </c>
      <c r="I26" s="9">
        <f t="shared" si="1"/>
        <v>-3.6515795138787846E-2</v>
      </c>
    </row>
    <row r="27" spans="1:9" x14ac:dyDescent="0.35">
      <c r="A27" s="1">
        <v>26</v>
      </c>
      <c r="B27" s="1" t="s">
        <v>8</v>
      </c>
      <c r="C27" s="1">
        <v>2017</v>
      </c>
      <c r="D27" s="20">
        <f>WC!G27</f>
        <v>0</v>
      </c>
      <c r="E27" s="20">
        <f>NCO!O27</f>
        <v>0</v>
      </c>
      <c r="F27" s="20">
        <f>FIN!G27</f>
        <v>0</v>
      </c>
      <c r="G27" s="20">
        <f t="shared" si="0"/>
        <v>0</v>
      </c>
      <c r="H27" s="20">
        <f>'Average Total Assets'!F27</f>
        <v>176346806500000</v>
      </c>
      <c r="I27" s="9">
        <f t="shared" si="1"/>
        <v>0</v>
      </c>
    </row>
    <row r="28" spans="1:9" x14ac:dyDescent="0.35">
      <c r="A28" s="1">
        <v>27</v>
      </c>
      <c r="B28" s="1" t="s">
        <v>8</v>
      </c>
      <c r="C28" s="1">
        <v>2018</v>
      </c>
      <c r="D28" s="20">
        <f>WC!G28</f>
        <v>-732093000000</v>
      </c>
      <c r="E28" s="20">
        <f>NCO!O28</f>
        <v>12473889000000</v>
      </c>
      <c r="F28" s="20">
        <f>FIN!G28</f>
        <v>-12941973000000</v>
      </c>
      <c r="G28" s="20">
        <f t="shared" si="0"/>
        <v>-1200177000000</v>
      </c>
      <c r="H28" s="20">
        <f>'Average Total Assets'!F28</f>
        <v>182509640500000</v>
      </c>
      <c r="I28" s="9">
        <f t="shared" si="1"/>
        <v>-6.5759649556703832E-3</v>
      </c>
    </row>
    <row r="29" spans="1:9" x14ac:dyDescent="0.35">
      <c r="A29" s="1">
        <v>28</v>
      </c>
      <c r="B29" s="1" t="s">
        <v>8</v>
      </c>
      <c r="C29" s="1">
        <v>2019</v>
      </c>
      <c r="D29" s="20">
        <f>WC!G29</f>
        <v>6627832000000</v>
      </c>
      <c r="E29" s="20">
        <f>NCO!O29</f>
        <v>-9416183000000</v>
      </c>
      <c r="F29" s="20">
        <f>FIN!G29</f>
        <v>4847155000000</v>
      </c>
      <c r="G29" s="20">
        <f t="shared" si="0"/>
        <v>2058804000000</v>
      </c>
      <c r="H29" s="20">
        <f>'Average Total Assets'!F29</f>
        <v>190148079500000</v>
      </c>
      <c r="I29" s="9">
        <f t="shared" si="1"/>
        <v>1.0827372042955606E-2</v>
      </c>
    </row>
    <row r="30" spans="1:9" x14ac:dyDescent="0.35">
      <c r="A30" s="1">
        <v>29</v>
      </c>
      <c r="B30" s="1" t="s">
        <v>8</v>
      </c>
      <c r="C30" s="1">
        <v>2020</v>
      </c>
      <c r="D30" s="20">
        <f>WC!G30</f>
        <v>-20639287000000</v>
      </c>
      <c r="E30" s="20">
        <f>NCO!O30</f>
        <v>-2455289000000</v>
      </c>
      <c r="F30" s="20">
        <f>FIN!G30</f>
        <v>5794543000000</v>
      </c>
      <c r="G30" s="20">
        <f t="shared" si="0"/>
        <v>-17300033000000</v>
      </c>
      <c r="H30" s="20">
        <f>'Average Total Assets'!F30</f>
        <v>197212019000000</v>
      </c>
      <c r="I30" s="9">
        <f t="shared" si="1"/>
        <v>-8.772301550241722E-2</v>
      </c>
    </row>
    <row r="31" spans="1:9" x14ac:dyDescent="0.35">
      <c r="A31" s="1">
        <v>30</v>
      </c>
      <c r="B31" s="1" t="s">
        <v>8</v>
      </c>
      <c r="C31" s="1">
        <v>2021</v>
      </c>
      <c r="D31" s="20">
        <f>WC!G31</f>
        <v>-1376626000000</v>
      </c>
      <c r="E31" s="20">
        <f>NCO!O31</f>
        <v>3062484000000</v>
      </c>
      <c r="F31" s="20">
        <f>FIN!G31</f>
        <v>3658740000000</v>
      </c>
      <c r="G31" s="20">
        <f t="shared" si="0"/>
        <v>5344598000000</v>
      </c>
      <c r="H31" s="20">
        <f>'Average Total Assets'!F31</f>
        <v>196564883000000</v>
      </c>
      <c r="I31" s="9">
        <f t="shared" si="1"/>
        <v>2.7189994054024391E-2</v>
      </c>
    </row>
    <row r="32" spans="1:9" x14ac:dyDescent="0.35">
      <c r="A32" s="1">
        <v>31</v>
      </c>
      <c r="B32" s="1" t="s">
        <v>9</v>
      </c>
      <c r="C32" s="1">
        <v>2017</v>
      </c>
      <c r="D32" s="20">
        <f>WC!G32</f>
        <v>0</v>
      </c>
      <c r="E32" s="20">
        <f>NCO!O32</f>
        <v>0</v>
      </c>
      <c r="F32" s="20">
        <f>FIN!G32</f>
        <v>0</v>
      </c>
      <c r="G32" s="20">
        <f t="shared" si="0"/>
        <v>0</v>
      </c>
      <c r="H32" s="20">
        <f>'Average Total Assets'!F32</f>
        <v>14479764500000</v>
      </c>
      <c r="I32" s="9">
        <f t="shared" si="1"/>
        <v>0</v>
      </c>
    </row>
    <row r="33" spans="1:9" x14ac:dyDescent="0.35">
      <c r="A33" s="1">
        <v>32</v>
      </c>
      <c r="B33" s="1" t="s">
        <v>9</v>
      </c>
      <c r="C33" s="1">
        <v>2018</v>
      </c>
      <c r="D33" s="20">
        <f>WC!G33</f>
        <v>2415173000000</v>
      </c>
      <c r="E33" s="20">
        <f>NCO!O33</f>
        <v>160953000000</v>
      </c>
      <c r="F33" s="20">
        <f>FIN!G33</f>
        <v>1334502000000</v>
      </c>
      <c r="G33" s="20">
        <f t="shared" si="0"/>
        <v>3910628000000</v>
      </c>
      <c r="H33" s="20">
        <f>'Average Total Assets'!F33</f>
        <v>17800289000000</v>
      </c>
      <c r="I33" s="9">
        <f t="shared" si="1"/>
        <v>0.21969463529496627</v>
      </c>
    </row>
    <row r="34" spans="1:9" x14ac:dyDescent="0.35">
      <c r="A34" s="1">
        <v>33</v>
      </c>
      <c r="B34" s="1" t="s">
        <v>9</v>
      </c>
      <c r="C34" s="1">
        <v>2019</v>
      </c>
      <c r="D34" s="20">
        <f>WC!G34</f>
        <v>-1423569000000</v>
      </c>
      <c r="E34" s="20">
        <f>NCO!O34</f>
        <v>-157184000000</v>
      </c>
      <c r="F34" s="20">
        <f>FIN!G34</f>
        <v>95944000000</v>
      </c>
      <c r="G34" s="20">
        <f t="shared" si="0"/>
        <v>-1484809000000</v>
      </c>
      <c r="H34" s="20">
        <f>'Average Total Assets'!F34</f>
        <v>19103469000000</v>
      </c>
      <c r="I34" s="9">
        <f t="shared" si="1"/>
        <v>-7.7724574526228718E-2</v>
      </c>
    </row>
    <row r="35" spans="1:9" x14ac:dyDescent="0.35">
      <c r="A35" s="1">
        <v>34</v>
      </c>
      <c r="B35" s="1" t="s">
        <v>9</v>
      </c>
      <c r="C35" s="1">
        <v>2020</v>
      </c>
      <c r="D35" s="20">
        <f>WC!G35</f>
        <v>-349400000000</v>
      </c>
      <c r="E35" s="20">
        <f>NCO!O35</f>
        <v>143500000000</v>
      </c>
      <c r="F35" s="20">
        <f>FIN!G35</f>
        <v>-4415076000000</v>
      </c>
      <c r="G35" s="20">
        <f t="shared" si="0"/>
        <v>-4620976000000</v>
      </c>
      <c r="H35" s="20">
        <f>'Average Total Assets'!F35</f>
        <v>17145082000000</v>
      </c>
      <c r="I35" s="9">
        <f t="shared" si="1"/>
        <v>-0.26952195387575284</v>
      </c>
    </row>
    <row r="36" spans="1:9" x14ac:dyDescent="0.35">
      <c r="A36" s="1">
        <v>35</v>
      </c>
      <c r="B36" s="1" t="s">
        <v>9</v>
      </c>
      <c r="C36" s="1">
        <v>2021</v>
      </c>
      <c r="D36" s="20">
        <f>WC!G36</f>
        <v>366137000000</v>
      </c>
      <c r="E36" s="20">
        <f>NCO!O36</f>
        <v>-39590000000</v>
      </c>
      <c r="F36" s="20">
        <f>FIN!G36</f>
        <v>-388864000000</v>
      </c>
      <c r="G36" s="20">
        <f t="shared" si="0"/>
        <v>-62317000000</v>
      </c>
      <c r="H36" s="20">
        <f>'Average Total Assets'!F36</f>
        <v>15418135000000</v>
      </c>
      <c r="I36" s="9">
        <f t="shared" si="1"/>
        <v>-4.0417988297547008E-3</v>
      </c>
    </row>
    <row r="37" spans="1:9" x14ac:dyDescent="0.35">
      <c r="A37" s="1">
        <v>36</v>
      </c>
      <c r="B37" s="1" t="s">
        <v>10</v>
      </c>
      <c r="C37" s="1">
        <v>2017</v>
      </c>
      <c r="D37" s="20">
        <f>WC!G37</f>
        <v>0</v>
      </c>
      <c r="E37" s="20">
        <f>NCO!O37</f>
        <v>0</v>
      </c>
      <c r="F37" s="20">
        <f>FIN!G37</f>
        <v>0</v>
      </c>
      <c r="G37" s="20">
        <f t="shared" si="0"/>
        <v>0</v>
      </c>
      <c r="H37" s="20">
        <f>'Average Total Assets'!F37</f>
        <v>253938591500000</v>
      </c>
      <c r="I37" s="9">
        <f t="shared" si="1"/>
        <v>0</v>
      </c>
    </row>
    <row r="38" spans="1:9" x14ac:dyDescent="0.35">
      <c r="A38" s="1">
        <v>37</v>
      </c>
      <c r="B38" s="1" t="s">
        <v>10</v>
      </c>
      <c r="C38" s="1">
        <v>2018</v>
      </c>
      <c r="D38" s="20">
        <f>WC!G38</f>
        <v>-4417665000000</v>
      </c>
      <c r="E38" s="20">
        <f>NCO!O38</f>
        <v>9579751000000</v>
      </c>
      <c r="F38" s="20">
        <f>FIN!G38</f>
        <v>-990420000000</v>
      </c>
      <c r="G38" s="20">
        <f t="shared" si="0"/>
        <v>4171666000000</v>
      </c>
      <c r="H38" s="20">
        <f>'Average Total Assets'!F38</f>
        <v>266543476500000</v>
      </c>
      <c r="I38" s="9">
        <f t="shared" si="1"/>
        <v>1.5650977674555842E-2</v>
      </c>
    </row>
    <row r="39" spans="1:9" x14ac:dyDescent="0.35">
      <c r="A39" s="1">
        <v>38</v>
      </c>
      <c r="B39" s="1" t="s">
        <v>10</v>
      </c>
      <c r="C39" s="1">
        <v>2019</v>
      </c>
      <c r="D39" s="20">
        <f>WC!G39</f>
        <v>2543060000000</v>
      </c>
      <c r="E39" s="20">
        <f>NCO!O39</f>
        <v>199574000000</v>
      </c>
      <c r="F39" s="20">
        <f>FIN!G39</f>
        <v>-4595907000000</v>
      </c>
      <c r="G39" s="20">
        <f t="shared" si="0"/>
        <v>-1853273000000</v>
      </c>
      <c r="H39" s="20">
        <f>'Average Total Assets'!F39</f>
        <v>270624362500000</v>
      </c>
      <c r="I39" s="9">
        <f t="shared" si="1"/>
        <v>-6.8481380718264043E-3</v>
      </c>
    </row>
    <row r="40" spans="1:9" x14ac:dyDescent="0.35">
      <c r="A40" s="1">
        <v>39</v>
      </c>
      <c r="B40" s="1" t="s">
        <v>10</v>
      </c>
      <c r="C40" s="1">
        <v>2020</v>
      </c>
      <c r="D40" s="20">
        <f>WC!G40</f>
        <v>-49495532000000</v>
      </c>
      <c r="E40" s="20">
        <f>NCO!O40</f>
        <v>4920968000000</v>
      </c>
      <c r="F40" s="20">
        <f>FIN!G40</f>
        <v>24081190000000</v>
      </c>
      <c r="G40" s="20">
        <f t="shared" si="0"/>
        <v>-20493374000000</v>
      </c>
      <c r="H40" s="20">
        <f>'Average Total Assets'!F40</f>
        <v>277705416000000</v>
      </c>
      <c r="I40" s="9">
        <f t="shared" si="1"/>
        <v>-7.3795370271064503E-2</v>
      </c>
    </row>
    <row r="41" spans="1:9" x14ac:dyDescent="0.35">
      <c r="A41" s="1">
        <v>40</v>
      </c>
      <c r="B41" s="1" t="s">
        <v>10</v>
      </c>
      <c r="C41" s="1">
        <v>2021</v>
      </c>
      <c r="D41" s="20">
        <f>WC!G41</f>
        <v>-833743000000</v>
      </c>
      <c r="E41" s="20">
        <f>NCO!O41</f>
        <v>634172000000</v>
      </c>
      <c r="F41" s="20">
        <f>FIN!G41</f>
        <v>-22666214000000</v>
      </c>
      <c r="G41" s="20">
        <f t="shared" si="0"/>
        <v>-22865785000000</v>
      </c>
      <c r="H41" s="20">
        <f>'Average Total Assets'!F41</f>
        <v>295865282500000</v>
      </c>
      <c r="I41" s="9">
        <f t="shared" si="1"/>
        <v>-7.7284447863530586E-2</v>
      </c>
    </row>
    <row r="42" spans="1:9" x14ac:dyDescent="0.35">
      <c r="A42" s="1">
        <v>41</v>
      </c>
      <c r="B42" s="1" t="s">
        <v>11</v>
      </c>
      <c r="C42" s="1">
        <v>2017</v>
      </c>
      <c r="D42" s="20">
        <f>WC!G42</f>
        <v>0</v>
      </c>
      <c r="E42" s="20">
        <f>NCO!O42</f>
        <v>0</v>
      </c>
      <c r="F42" s="20">
        <f>FIN!G42</f>
        <v>0</v>
      </c>
      <c r="G42" s="20">
        <f t="shared" si="0"/>
        <v>0</v>
      </c>
      <c r="H42" s="20">
        <f>'Average Total Assets'!F42</f>
        <v>169966196500000</v>
      </c>
      <c r="I42" s="9">
        <f t="shared" si="1"/>
        <v>0</v>
      </c>
    </row>
    <row r="43" spans="1:9" x14ac:dyDescent="0.35">
      <c r="A43" s="1">
        <v>42</v>
      </c>
      <c r="B43" s="1" t="s">
        <v>11</v>
      </c>
      <c r="C43" s="1">
        <v>2018</v>
      </c>
      <c r="D43" s="20">
        <f>WC!G43</f>
        <v>14996734000000</v>
      </c>
      <c r="E43" s="20">
        <f>NCO!O43</f>
        <v>-726419000000</v>
      </c>
      <c r="F43" s="20">
        <f>FIN!G43</f>
        <v>-6699316000000</v>
      </c>
      <c r="G43" s="20">
        <f t="shared" si="0"/>
        <v>7570999000000</v>
      </c>
      <c r="H43" s="20">
        <f>'Average Total Assets'!F43</f>
        <v>175393174500000</v>
      </c>
      <c r="I43" s="9">
        <f t="shared" si="1"/>
        <v>4.3165870174725639E-2</v>
      </c>
    </row>
    <row r="44" spans="1:9" x14ac:dyDescent="0.35">
      <c r="A44" s="1">
        <v>43</v>
      </c>
      <c r="B44" s="1" t="s">
        <v>11</v>
      </c>
      <c r="C44" s="1">
        <v>2019</v>
      </c>
      <c r="D44" s="20">
        <f>WC!G44</f>
        <v>-4337884000000</v>
      </c>
      <c r="E44" s="20">
        <f>NCO!O44</f>
        <v>334426000000</v>
      </c>
      <c r="F44" s="20">
        <f>FIN!G44</f>
        <v>13834932000000</v>
      </c>
      <c r="G44" s="20">
        <f t="shared" si="0"/>
        <v>9831474000000</v>
      </c>
      <c r="H44" s="20">
        <f>'Average Total Assets'!F44</f>
        <v>173307844000000</v>
      </c>
      <c r="I44" s="9">
        <f t="shared" si="1"/>
        <v>5.6728384434809542E-2</v>
      </c>
    </row>
    <row r="45" spans="1:9" x14ac:dyDescent="0.35">
      <c r="A45" s="1">
        <v>44</v>
      </c>
      <c r="B45" s="1" t="s">
        <v>11</v>
      </c>
      <c r="C45" s="1">
        <v>2020</v>
      </c>
      <c r="D45" s="20">
        <f>WC!G45</f>
        <v>-22029468000000</v>
      </c>
      <c r="E45" s="20">
        <f>NCO!O45</f>
        <v>467952000000</v>
      </c>
      <c r="F45" s="20">
        <f>FIN!G45</f>
        <v>12002004000000</v>
      </c>
      <c r="G45" s="20">
        <f t="shared" si="0"/>
        <v>-9559512000000</v>
      </c>
      <c r="H45" s="20">
        <f>'Average Total Assets'!F45</f>
        <v>171153621000000</v>
      </c>
      <c r="I45" s="9">
        <f t="shared" si="1"/>
        <v>-5.5853402014789978E-2</v>
      </c>
    </row>
    <row r="46" spans="1:9" x14ac:dyDescent="0.35">
      <c r="A46" s="1">
        <v>45</v>
      </c>
      <c r="B46" s="1" t="s">
        <v>11</v>
      </c>
      <c r="C46" s="1">
        <v>2021</v>
      </c>
      <c r="D46" s="20">
        <f>WC!G46</f>
        <v>-311050000000</v>
      </c>
      <c r="E46" s="20">
        <f>NCO!O46</f>
        <v>1255095000000</v>
      </c>
      <c r="F46" s="20">
        <f>FIN!G46</f>
        <v>4504440000000</v>
      </c>
      <c r="G46" s="20">
        <f t="shared" si="0"/>
        <v>5448485000000</v>
      </c>
      <c r="H46" s="20">
        <f>'Average Total Assets'!F46</f>
        <v>170991444000000</v>
      </c>
      <c r="I46" s="9">
        <f t="shared" si="1"/>
        <v>3.1864079702139947E-2</v>
      </c>
    </row>
    <row r="47" spans="1:9" x14ac:dyDescent="0.35">
      <c r="A47" s="1">
        <v>46</v>
      </c>
      <c r="B47" s="1" t="s">
        <v>12</v>
      </c>
      <c r="C47" s="1">
        <v>2017</v>
      </c>
      <c r="D47" s="20">
        <f>WC!G47</f>
        <v>0</v>
      </c>
      <c r="E47" s="20">
        <f>NCO!O47</f>
        <v>0</v>
      </c>
      <c r="F47" s="20">
        <f>FIN!G47</f>
        <v>0</v>
      </c>
      <c r="G47" s="20">
        <f t="shared" si="0"/>
        <v>0</v>
      </c>
      <c r="H47" s="20">
        <f>'Average Total Assets'!F47</f>
        <v>156927941000000</v>
      </c>
      <c r="I47" s="9">
        <f t="shared" si="1"/>
        <v>0</v>
      </c>
    </row>
    <row r="48" spans="1:9" x14ac:dyDescent="0.35">
      <c r="A48" s="1">
        <v>47</v>
      </c>
      <c r="B48" s="1" t="s">
        <v>12</v>
      </c>
      <c r="C48" s="1">
        <v>2018</v>
      </c>
      <c r="D48" s="20">
        <f>WC!G48</f>
        <v>15476848000000</v>
      </c>
      <c r="E48" s="20">
        <f>NCO!O48</f>
        <v>23108000000</v>
      </c>
      <c r="F48" s="20">
        <f>FIN!G48</f>
        <v>-12430543000000</v>
      </c>
      <c r="G48" s="20">
        <f t="shared" si="0"/>
        <v>3069413000000</v>
      </c>
      <c r="H48" s="20">
        <f>'Average Total Assets'!F48</f>
        <v>150610618000000</v>
      </c>
      <c r="I48" s="9">
        <f t="shared" si="1"/>
        <v>2.0379791549623678E-2</v>
      </c>
    </row>
    <row r="49" spans="1:9" x14ac:dyDescent="0.35">
      <c r="A49" s="1">
        <v>48</v>
      </c>
      <c r="B49" s="1" t="s">
        <v>12</v>
      </c>
      <c r="C49" s="1">
        <v>2019</v>
      </c>
      <c r="D49" s="20">
        <f>WC!G49</f>
        <v>-4660641000000</v>
      </c>
      <c r="E49" s="20">
        <f>NCO!O49</f>
        <v>147075000000</v>
      </c>
      <c r="F49" s="20">
        <f>FIN!G49</f>
        <v>-4198248000000</v>
      </c>
      <c r="G49" s="20">
        <f t="shared" si="0"/>
        <v>-8711814000000</v>
      </c>
      <c r="H49" s="20">
        <f>'Average Total Assets'!F49</f>
        <v>157172062500000</v>
      </c>
      <c r="I49" s="9">
        <f t="shared" si="1"/>
        <v>-5.5428514848177936E-2</v>
      </c>
    </row>
    <row r="50" spans="1:9" x14ac:dyDescent="0.35">
      <c r="A50" s="1">
        <v>49</v>
      </c>
      <c r="B50" s="1" t="s">
        <v>12</v>
      </c>
      <c r="C50" s="1">
        <v>2020</v>
      </c>
      <c r="D50" s="20">
        <f>WC!G50</f>
        <v>2466843000000</v>
      </c>
      <c r="E50" s="20">
        <f>NCO!O50</f>
        <v>-1102283000000</v>
      </c>
      <c r="F50" s="20">
        <f>FIN!G50</f>
        <v>2524261000000</v>
      </c>
      <c r="G50" s="20">
        <f t="shared" si="0"/>
        <v>3888821000000</v>
      </c>
      <c r="H50" s="20">
        <f>'Average Total Assets'!F50</f>
        <v>179588678000000</v>
      </c>
      <c r="I50" s="9">
        <f t="shared" si="1"/>
        <v>2.1654043246534728E-2</v>
      </c>
    </row>
    <row r="51" spans="1:9" x14ac:dyDescent="0.35">
      <c r="A51" s="1">
        <v>50</v>
      </c>
      <c r="B51" s="1" t="s">
        <v>12</v>
      </c>
      <c r="C51" s="1">
        <v>2021</v>
      </c>
      <c r="D51" s="20">
        <f>WC!G51</f>
        <v>1490042000000</v>
      </c>
      <c r="E51" s="20">
        <f>NCO!O51</f>
        <v>2135181000000</v>
      </c>
      <c r="F51" s="20">
        <f>FIN!G51</f>
        <v>-25292319000000</v>
      </c>
      <c r="G51" s="20">
        <f t="shared" si="0"/>
        <v>-21667096000000</v>
      </c>
      <c r="H51" s="20">
        <f>'Average Total Assets'!F51</f>
        <v>216052569500000</v>
      </c>
      <c r="I51" s="9">
        <f t="shared" si="1"/>
        <v>-0.10028622223814838</v>
      </c>
    </row>
    <row r="52" spans="1:9" x14ac:dyDescent="0.35">
      <c r="A52" s="1">
        <v>51</v>
      </c>
      <c r="B52" s="1" t="s">
        <v>13</v>
      </c>
      <c r="C52" s="1">
        <v>2017</v>
      </c>
      <c r="D52" s="20">
        <f>WC!G52</f>
        <v>0</v>
      </c>
      <c r="E52" s="20">
        <f>NCO!O52</f>
        <v>0</v>
      </c>
      <c r="F52" s="20">
        <f>FIN!G52</f>
        <v>0</v>
      </c>
      <c r="G52" s="20">
        <f t="shared" si="0"/>
        <v>0</v>
      </c>
      <c r="H52" s="20">
        <f>'Average Total Assets'!F52</f>
        <v>28568018500000</v>
      </c>
      <c r="I52" s="9">
        <f t="shared" si="1"/>
        <v>0</v>
      </c>
    </row>
    <row r="53" spans="1:9" x14ac:dyDescent="0.35">
      <c r="A53" s="1">
        <v>52</v>
      </c>
      <c r="B53" s="1" t="s">
        <v>13</v>
      </c>
      <c r="C53" s="1">
        <v>2018</v>
      </c>
      <c r="D53" s="20">
        <f>WC!G53</f>
        <v>66846000000</v>
      </c>
      <c r="E53" s="20">
        <f>NCO!O53</f>
        <v>918764000000</v>
      </c>
      <c r="F53" s="20">
        <f>FIN!G53</f>
        <v>-720724000000</v>
      </c>
      <c r="G53" s="20">
        <f t="shared" si="0"/>
        <v>264886000000</v>
      </c>
      <c r="H53" s="20">
        <f>'Average Total Assets'!F53</f>
        <v>30494687000000</v>
      </c>
      <c r="I53" s="9">
        <f t="shared" si="1"/>
        <v>8.6863000102280104E-3</v>
      </c>
    </row>
    <row r="54" spans="1:9" x14ac:dyDescent="0.35">
      <c r="A54" s="1">
        <v>53</v>
      </c>
      <c r="B54" s="1" t="s">
        <v>13</v>
      </c>
      <c r="C54" s="1">
        <v>2019</v>
      </c>
      <c r="D54" s="20">
        <f>WC!G54</f>
        <v>2964091000000</v>
      </c>
      <c r="E54" s="20">
        <f>NCO!O54</f>
        <v>-1033125000000</v>
      </c>
      <c r="F54" s="20">
        <f>FIN!G54</f>
        <v>-2569816000000</v>
      </c>
      <c r="G54" s="20">
        <f t="shared" si="0"/>
        <v>-638850000000</v>
      </c>
      <c r="H54" s="20">
        <f>'Average Total Assets'!F54</f>
        <v>33306647000000</v>
      </c>
      <c r="I54" s="9">
        <f t="shared" si="1"/>
        <v>-1.9180856001506246E-2</v>
      </c>
    </row>
    <row r="55" spans="1:9" x14ac:dyDescent="0.35">
      <c r="A55" s="1">
        <v>54</v>
      </c>
      <c r="B55" s="1" t="s">
        <v>13</v>
      </c>
      <c r="C55" s="1">
        <v>2020</v>
      </c>
      <c r="D55" s="20">
        <f>WC!G55</f>
        <v>-3065198000000</v>
      </c>
      <c r="E55" s="20">
        <f>NCO!O55</f>
        <v>-467494000000</v>
      </c>
      <c r="F55" s="20">
        <f>FIN!G55</f>
        <v>5732820000000</v>
      </c>
      <c r="G55" s="20">
        <f t="shared" si="0"/>
        <v>2200128000000</v>
      </c>
      <c r="H55" s="20">
        <f>'Average Total Assets'!F55</f>
        <v>32173683000000</v>
      </c>
      <c r="I55" s="9">
        <f t="shared" si="1"/>
        <v>6.8382845694103467E-2</v>
      </c>
    </row>
    <row r="56" spans="1:9" x14ac:dyDescent="0.35">
      <c r="A56" s="1">
        <v>55</v>
      </c>
      <c r="B56" s="1" t="s">
        <v>13</v>
      </c>
      <c r="C56" s="1">
        <v>2021</v>
      </c>
      <c r="D56" s="20">
        <f>WC!G56</f>
        <v>-1955040000000</v>
      </c>
      <c r="E56" s="20">
        <f>NCO!O56</f>
        <v>1268535000000</v>
      </c>
      <c r="F56" s="20">
        <f>FIN!G56</f>
        <v>6466359000000</v>
      </c>
      <c r="G56" s="20">
        <f t="shared" si="0"/>
        <v>5779854000000</v>
      </c>
      <c r="H56" s="20">
        <f>'Average Total Assets'!F56</f>
        <v>26478199000000</v>
      </c>
      <c r="I56" s="9">
        <f t="shared" si="1"/>
        <v>0.21828727852676083</v>
      </c>
    </row>
    <row r="57" spans="1:9" x14ac:dyDescent="0.35">
      <c r="A57" s="1">
        <v>56</v>
      </c>
      <c r="B57" s="1" t="s">
        <v>14</v>
      </c>
      <c r="C57" s="1">
        <v>2017</v>
      </c>
      <c r="D57" s="20">
        <f>WC!G57</f>
        <v>0</v>
      </c>
      <c r="E57" s="20">
        <f>NCO!O57</f>
        <v>0</v>
      </c>
      <c r="F57" s="20">
        <f>FIN!G57</f>
        <v>0</v>
      </c>
      <c r="G57" s="20">
        <f t="shared" si="0"/>
        <v>0</v>
      </c>
      <c r="H57" s="20">
        <f>'Average Total Assets'!F57</f>
        <v>27412794965500</v>
      </c>
      <c r="I57" s="9">
        <f t="shared" si="1"/>
        <v>0</v>
      </c>
    </row>
    <row r="58" spans="1:9" x14ac:dyDescent="0.35">
      <c r="A58" s="1">
        <v>57</v>
      </c>
      <c r="B58" s="1" t="s">
        <v>14</v>
      </c>
      <c r="C58" s="1">
        <v>2018</v>
      </c>
      <c r="D58" s="20">
        <f>WC!G58</f>
        <v>591170429000</v>
      </c>
      <c r="E58" s="20">
        <f>NCO!O58</f>
        <v>1353952973000</v>
      </c>
      <c r="F58" s="20">
        <f>FIN!G58</f>
        <v>-1497846242000</v>
      </c>
      <c r="G58" s="20">
        <f t="shared" si="0"/>
        <v>447277160000</v>
      </c>
      <c r="H58" s="20">
        <f>'Average Total Assets'!F58</f>
        <v>29498961992500</v>
      </c>
      <c r="I58" s="9">
        <f t="shared" si="1"/>
        <v>1.5162471144364963E-2</v>
      </c>
    </row>
    <row r="59" spans="1:9" x14ac:dyDescent="0.35">
      <c r="A59" s="1">
        <v>58</v>
      </c>
      <c r="B59" s="1" t="s">
        <v>14</v>
      </c>
      <c r="C59" s="1">
        <v>2019</v>
      </c>
      <c r="D59" s="20">
        <f>WC!G59</f>
        <v>-575640810000</v>
      </c>
      <c r="E59" s="20">
        <f>NCO!O59</f>
        <v>590748269109</v>
      </c>
      <c r="F59" s="20">
        <f>FIN!G59</f>
        <v>202964270891</v>
      </c>
      <c r="G59" s="20">
        <f t="shared" si="0"/>
        <v>218071730000</v>
      </c>
      <c r="H59" s="20">
        <f>'Average Total Assets'!F59</f>
        <v>30314387069500</v>
      </c>
      <c r="I59" s="9">
        <f t="shared" si="1"/>
        <v>7.193671094191674E-3</v>
      </c>
    </row>
    <row r="60" spans="1:9" x14ac:dyDescent="0.35">
      <c r="A60" s="1">
        <v>59</v>
      </c>
      <c r="B60" s="1" t="s">
        <v>14</v>
      </c>
      <c r="C60" s="1">
        <v>2020</v>
      </c>
      <c r="D60" s="20">
        <f>WC!G60</f>
        <v>-1825523303998</v>
      </c>
      <c r="E60" s="20">
        <f>NCO!O60</f>
        <v>-558115004109</v>
      </c>
      <c r="F60" s="20">
        <f>FIN!G60</f>
        <v>2537699916109</v>
      </c>
      <c r="G60" s="20">
        <f t="shared" si="0"/>
        <v>154061608002</v>
      </c>
      <c r="H60" s="20">
        <f>'Average Total Assets'!F60</f>
        <v>28338933137000</v>
      </c>
      <c r="I60" s="9">
        <f t="shared" si="1"/>
        <v>5.4363940680904966E-3</v>
      </c>
    </row>
    <row r="61" spans="1:9" x14ac:dyDescent="0.35">
      <c r="A61" s="1">
        <v>60</v>
      </c>
      <c r="B61" s="1" t="s">
        <v>14</v>
      </c>
      <c r="C61" s="1">
        <v>2021</v>
      </c>
      <c r="D61" s="20">
        <f>WC!G61</f>
        <v>2712647500998</v>
      </c>
      <c r="E61" s="20">
        <f>NCO!O61</f>
        <v>-113635271000</v>
      </c>
      <c r="F61" s="20">
        <f>FIN!G61</f>
        <v>507349878000</v>
      </c>
      <c r="G61" s="20">
        <f t="shared" si="0"/>
        <v>3106362107998</v>
      </c>
      <c r="H61" s="20">
        <f>'Average Total Assets'!F61</f>
        <v>25584275258500</v>
      </c>
      <c r="I61" s="9">
        <f t="shared" si="1"/>
        <v>0.12141684986624575</v>
      </c>
    </row>
    <row r="62" spans="1:9" x14ac:dyDescent="0.35">
      <c r="A62" s="1">
        <v>61</v>
      </c>
      <c r="B62" s="1" t="s">
        <v>15</v>
      </c>
      <c r="C62" s="1">
        <v>2017</v>
      </c>
      <c r="D62" s="20">
        <f>WC!G62</f>
        <v>0</v>
      </c>
      <c r="E62" s="20">
        <f>NCO!O62</f>
        <v>0</v>
      </c>
      <c r="F62" s="20">
        <f>FIN!G62</f>
        <v>0</v>
      </c>
      <c r="G62" s="20">
        <f t="shared" si="0"/>
        <v>0</v>
      </c>
      <c r="H62" s="20">
        <f>'Average Total Assets'!F62</f>
        <v>8317518837000</v>
      </c>
      <c r="I62" s="9">
        <f t="shared" si="1"/>
        <v>0</v>
      </c>
    </row>
    <row r="63" spans="1:9" x14ac:dyDescent="0.35">
      <c r="A63" s="1">
        <v>62</v>
      </c>
      <c r="B63" s="1" t="s">
        <v>15</v>
      </c>
      <c r="C63" s="1">
        <v>2018</v>
      </c>
      <c r="D63" s="20">
        <f>WC!G63</f>
        <v>1614624745000</v>
      </c>
      <c r="E63" s="20">
        <f>NCO!O63</f>
        <v>22293033000</v>
      </c>
      <c r="F63" s="20">
        <f>FIN!G63</f>
        <v>-867059182000</v>
      </c>
      <c r="G63" s="20">
        <f t="shared" si="0"/>
        <v>769858596000</v>
      </c>
      <c r="H63" s="20">
        <f>'Average Total Assets'!F63</f>
        <v>10497063221500</v>
      </c>
      <c r="I63" s="9">
        <f t="shared" si="1"/>
        <v>7.3340379090332794E-2</v>
      </c>
    </row>
    <row r="64" spans="1:9" x14ac:dyDescent="0.35">
      <c r="A64" s="1">
        <v>63</v>
      </c>
      <c r="B64" s="1" t="s">
        <v>15</v>
      </c>
      <c r="C64" s="1">
        <v>2019</v>
      </c>
      <c r="D64" s="20">
        <f>WC!G64</f>
        <v>394040848000</v>
      </c>
      <c r="E64" s="20">
        <f>NCO!O64</f>
        <v>-90784615000</v>
      </c>
      <c r="F64" s="20">
        <f>FIN!G64</f>
        <v>-692275234000</v>
      </c>
      <c r="G64" s="20">
        <f t="shared" si="0"/>
        <v>-389019001000</v>
      </c>
      <c r="H64" s="20">
        <f>'Average Total Assets'!F64</f>
        <v>11610378593000</v>
      </c>
      <c r="I64" s="9">
        <f t="shared" si="1"/>
        <v>-3.3506142619203046E-2</v>
      </c>
    </row>
    <row r="65" spans="1:9" x14ac:dyDescent="0.35">
      <c r="A65" s="1">
        <v>64</v>
      </c>
      <c r="B65" s="1" t="s">
        <v>15</v>
      </c>
      <c r="C65" s="1">
        <v>2020</v>
      </c>
      <c r="D65" s="20">
        <f>WC!G65</f>
        <v>-52334299000</v>
      </c>
      <c r="E65" s="20">
        <f>NCO!O65</f>
        <v>116597081000</v>
      </c>
      <c r="F65" s="20">
        <f>FIN!G65</f>
        <v>1239538599000</v>
      </c>
      <c r="G65" s="20">
        <f t="shared" si="0"/>
        <v>1303801381000</v>
      </c>
      <c r="H65" s="20">
        <f>'Average Total Assets'!F65</f>
        <v>11517467142500</v>
      </c>
      <c r="I65" s="9">
        <f t="shared" si="1"/>
        <v>0.11320209251467374</v>
      </c>
    </row>
    <row r="66" spans="1:9" x14ac:dyDescent="0.35">
      <c r="A66" s="1">
        <v>65</v>
      </c>
      <c r="B66" s="1" t="s">
        <v>15</v>
      </c>
      <c r="C66" s="1">
        <v>2021</v>
      </c>
      <c r="D66" s="20">
        <f>WC!G66</f>
        <v>-2255961542000</v>
      </c>
      <c r="E66" s="20">
        <f>NCO!O66</f>
        <v>330370467000</v>
      </c>
      <c r="F66" s="20">
        <f>FIN!G66</f>
        <v>3855249506000</v>
      </c>
      <c r="G66" s="20">
        <f t="shared" si="0"/>
        <v>1929658431000</v>
      </c>
      <c r="H66" s="20">
        <f>'Average Total Assets'!F66</f>
        <v>9020680117500</v>
      </c>
      <c r="I66" s="9">
        <f t="shared" si="1"/>
        <v>0.21391496049798819</v>
      </c>
    </row>
    <row r="67" spans="1:9" x14ac:dyDescent="0.35">
      <c r="A67" s="1">
        <v>66</v>
      </c>
      <c r="B67" s="1" t="s">
        <v>16</v>
      </c>
      <c r="C67" s="1">
        <v>2017</v>
      </c>
      <c r="D67" s="20">
        <f>WC!G67</f>
        <v>0</v>
      </c>
      <c r="E67" s="20">
        <f>NCO!O67</f>
        <v>0</v>
      </c>
      <c r="F67" s="20">
        <f>FIN!G67</f>
        <v>0</v>
      </c>
      <c r="G67" s="20">
        <f t="shared" ref="G67:G130" si="2">D67+E67+F67</f>
        <v>0</v>
      </c>
      <c r="H67" s="20">
        <f>'Average Total Assets'!F67</f>
        <v>3727293518000</v>
      </c>
      <c r="I67" s="9">
        <f t="shared" ref="I67:I130" si="3">G67/H67</f>
        <v>0</v>
      </c>
    </row>
    <row r="68" spans="1:9" x14ac:dyDescent="0.35">
      <c r="A68" s="1">
        <v>67</v>
      </c>
      <c r="B68" s="1" t="s">
        <v>16</v>
      </c>
      <c r="C68" s="1">
        <v>2018</v>
      </c>
      <c r="D68" s="20">
        <f>WC!G68</f>
        <v>-800392428000</v>
      </c>
      <c r="E68" s="20">
        <f>NCO!O68</f>
        <v>432973336000</v>
      </c>
      <c r="F68" s="20">
        <f>FIN!G68</f>
        <v>1476984875000</v>
      </c>
      <c r="G68" s="20">
        <f t="shared" si="2"/>
        <v>1109565783000</v>
      </c>
      <c r="H68" s="20">
        <f>'Average Total Assets'!F68</f>
        <v>3055761564500</v>
      </c>
      <c r="I68" s="9">
        <f t="shared" si="3"/>
        <v>0.36310613887230858</v>
      </c>
    </row>
    <row r="69" spans="1:9" x14ac:dyDescent="0.35">
      <c r="A69" s="1">
        <v>68</v>
      </c>
      <c r="B69" s="1" t="s">
        <v>16</v>
      </c>
      <c r="C69" s="1">
        <v>2019</v>
      </c>
      <c r="D69" s="20">
        <f>WC!G69</f>
        <v>-165402402000</v>
      </c>
      <c r="E69" s="20">
        <f>NCO!O69</f>
        <v>431386216000</v>
      </c>
      <c r="F69" s="20">
        <f>FIN!G69</f>
        <v>1291240215000</v>
      </c>
      <c r="G69" s="20">
        <f t="shared" si="2"/>
        <v>1557224029000</v>
      </c>
      <c r="H69" s="20">
        <f>'Average Total Assets'!F69</f>
        <v>1726090971500</v>
      </c>
      <c r="I69" s="9">
        <f t="shared" si="3"/>
        <v>0.90216799387273783</v>
      </c>
    </row>
    <row r="70" spans="1:9" x14ac:dyDescent="0.35">
      <c r="A70" s="1">
        <v>69</v>
      </c>
      <c r="B70" s="1" t="s">
        <v>16</v>
      </c>
      <c r="C70" s="1">
        <v>2020</v>
      </c>
      <c r="D70" s="20">
        <f>WC!G70</f>
        <v>-75441180000</v>
      </c>
      <c r="E70" s="20">
        <f>NCO!O70</f>
        <v>33806484000</v>
      </c>
      <c r="F70" s="20">
        <f>FIN!G70</f>
        <v>300819915000</v>
      </c>
      <c r="G70" s="20">
        <f t="shared" si="2"/>
        <v>259185219000</v>
      </c>
      <c r="H70" s="20">
        <f>'Average Total Assets'!F70</f>
        <v>981752011500</v>
      </c>
      <c r="I70" s="9">
        <f t="shared" si="3"/>
        <v>0.2640027379256355</v>
      </c>
    </row>
    <row r="71" spans="1:9" x14ac:dyDescent="0.35">
      <c r="A71" s="1">
        <v>70</v>
      </c>
      <c r="B71" s="1" t="s">
        <v>16</v>
      </c>
      <c r="C71" s="1">
        <v>2021</v>
      </c>
      <c r="D71" s="20">
        <f>WC!G71</f>
        <v>147556722000</v>
      </c>
      <c r="E71" s="20">
        <f>NCO!O71</f>
        <v>-13953822000</v>
      </c>
      <c r="F71" s="20">
        <f>FIN!G71</f>
        <v>-394872774000</v>
      </c>
      <c r="G71" s="20">
        <f t="shared" si="2"/>
        <v>-261269874000</v>
      </c>
      <c r="H71" s="20">
        <f>'Average Total Assets'!F71</f>
        <v>1025994461500</v>
      </c>
      <c r="I71" s="9">
        <f t="shared" si="3"/>
        <v>-0.25465037464044832</v>
      </c>
    </row>
    <row r="72" spans="1:9" x14ac:dyDescent="0.35">
      <c r="A72" s="1">
        <v>71</v>
      </c>
      <c r="B72" s="1" t="s">
        <v>17</v>
      </c>
      <c r="C72" s="1">
        <v>2017</v>
      </c>
      <c r="D72" s="20">
        <f>WC!G72</f>
        <v>0</v>
      </c>
      <c r="E72" s="20">
        <f>NCO!O72</f>
        <v>0</v>
      </c>
      <c r="F72" s="20">
        <f>FIN!G72</f>
        <v>0</v>
      </c>
      <c r="G72" s="20">
        <f t="shared" si="2"/>
        <v>0</v>
      </c>
      <c r="H72" s="20">
        <f>'Average Total Assets'!F72</f>
        <v>67792336189000</v>
      </c>
      <c r="I72" s="9">
        <f t="shared" si="3"/>
        <v>0</v>
      </c>
    </row>
    <row r="73" spans="1:9" x14ac:dyDescent="0.35">
      <c r="A73" s="1">
        <v>72</v>
      </c>
      <c r="B73" s="1" t="s">
        <v>17</v>
      </c>
      <c r="C73" s="1">
        <v>2018</v>
      </c>
      <c r="D73" s="20">
        <f>WC!G73</f>
        <v>-1179953000000</v>
      </c>
      <c r="E73" s="20">
        <f>NCO!O73</f>
        <v>5988002833000</v>
      </c>
      <c r="F73" s="20">
        <f>FIN!G73</f>
        <v>-11748137000000</v>
      </c>
      <c r="G73" s="20">
        <f t="shared" si="2"/>
        <v>-6940087167000</v>
      </c>
      <c r="H73" s="20">
        <f>'Average Total Assets'!F73</f>
        <v>80858731500000</v>
      </c>
      <c r="I73" s="9">
        <f t="shared" si="3"/>
        <v>-8.5829780386797186E-2</v>
      </c>
    </row>
    <row r="74" spans="1:9" x14ac:dyDescent="0.35">
      <c r="A74" s="1">
        <v>73</v>
      </c>
      <c r="B74" s="1" t="s">
        <v>17</v>
      </c>
      <c r="C74" s="1">
        <v>2019</v>
      </c>
      <c r="D74" s="20">
        <f>WC!G74</f>
        <v>1681126000000</v>
      </c>
      <c r="E74" s="20">
        <f>NCO!O74</f>
        <v>-3615196000000</v>
      </c>
      <c r="F74" s="20">
        <f>FIN!G74</f>
        <v>-2256832000000</v>
      </c>
      <c r="G74" s="20">
        <f t="shared" si="2"/>
        <v>-4190902000000</v>
      </c>
      <c r="H74" s="20">
        <f>'Average Total Assets'!F74</f>
        <v>90190362000000</v>
      </c>
      <c r="I74" s="9">
        <f t="shared" si="3"/>
        <v>-4.6467293256900334E-2</v>
      </c>
    </row>
    <row r="75" spans="1:9" x14ac:dyDescent="0.35">
      <c r="A75" s="1">
        <v>74</v>
      </c>
      <c r="B75" s="1" t="s">
        <v>17</v>
      </c>
      <c r="C75" s="1">
        <v>2020</v>
      </c>
      <c r="D75" s="20">
        <f>WC!G75</f>
        <v>-11303365000000</v>
      </c>
      <c r="E75" s="20">
        <f>NCO!O75</f>
        <v>19942302000000</v>
      </c>
      <c r="F75" s="20">
        <f>FIN!G75</f>
        <v>-6202339000000</v>
      </c>
      <c r="G75" s="20">
        <f t="shared" si="2"/>
        <v>2436598000000</v>
      </c>
      <c r="H75" s="20">
        <f>'Average Total Assets'!F75</f>
        <v>92963428000000</v>
      </c>
      <c r="I75" s="9">
        <f t="shared" si="3"/>
        <v>2.6210285618985564E-2</v>
      </c>
    </row>
    <row r="76" spans="1:9" x14ac:dyDescent="0.35">
      <c r="A76" s="1">
        <v>75</v>
      </c>
      <c r="B76" s="1" t="s">
        <v>17</v>
      </c>
      <c r="C76" s="1">
        <v>2021</v>
      </c>
      <c r="D76" s="20">
        <f>WC!G76</f>
        <v>-17102871000000</v>
      </c>
      <c r="E76" s="20">
        <f>NCO!O76</f>
        <v>5813745000000</v>
      </c>
      <c r="F76" s="20">
        <f>FIN!G76</f>
        <v>-15091042000000</v>
      </c>
      <c r="G76" s="20">
        <f t="shared" si="2"/>
        <v>-26380168000000</v>
      </c>
      <c r="H76" s="20">
        <f>'Average Total Assets'!F76</f>
        <v>105811105000000</v>
      </c>
      <c r="I76" s="9">
        <f t="shared" si="3"/>
        <v>-0.24931379367033357</v>
      </c>
    </row>
    <row r="77" spans="1:9" x14ac:dyDescent="0.35">
      <c r="A77" s="1">
        <v>76</v>
      </c>
      <c r="B77" s="1" t="s">
        <v>18</v>
      </c>
      <c r="C77" s="1">
        <v>2017</v>
      </c>
      <c r="D77" s="20">
        <f>WC!G77</f>
        <v>0</v>
      </c>
      <c r="E77" s="20">
        <f>NCO!O77</f>
        <v>0</v>
      </c>
      <c r="F77" s="20">
        <f>FIN!G77</f>
        <v>0</v>
      </c>
      <c r="G77" s="20">
        <f t="shared" si="2"/>
        <v>0</v>
      </c>
      <c r="H77" s="20">
        <f>'Average Total Assets'!F77</f>
        <v>489900968404.5</v>
      </c>
      <c r="I77" s="9">
        <f t="shared" si="3"/>
        <v>0</v>
      </c>
    </row>
    <row r="78" spans="1:9" x14ac:dyDescent="0.35">
      <c r="A78" s="1">
        <v>77</v>
      </c>
      <c r="B78" s="1" t="s">
        <v>18</v>
      </c>
      <c r="C78" s="1">
        <v>2018</v>
      </c>
      <c r="D78" s="20">
        <f>WC!G78</f>
        <v>-30525908399</v>
      </c>
      <c r="E78" s="20">
        <f>NCO!O78</f>
        <v>-19666408888</v>
      </c>
      <c r="F78" s="20">
        <f>FIN!G78</f>
        <v>92277740482</v>
      </c>
      <c r="G78" s="20">
        <f t="shared" si="2"/>
        <v>42085423195</v>
      </c>
      <c r="H78" s="20">
        <f>'Average Total Assets'!F78</f>
        <v>525624125551.5</v>
      </c>
      <c r="I78" s="9">
        <f t="shared" si="3"/>
        <v>8.0067525726378638E-2</v>
      </c>
    </row>
    <row r="79" spans="1:9" x14ac:dyDescent="0.35">
      <c r="A79" s="1">
        <v>78</v>
      </c>
      <c r="B79" s="1" t="s">
        <v>18</v>
      </c>
      <c r="C79" s="1">
        <v>2019</v>
      </c>
      <c r="D79" s="20">
        <f>WC!G79</f>
        <v>-4419510760</v>
      </c>
      <c r="E79" s="20">
        <f>NCO!O79</f>
        <v>-14146552922</v>
      </c>
      <c r="F79" s="20">
        <f>FIN!G79</f>
        <v>-115629593382</v>
      </c>
      <c r="G79" s="20">
        <f t="shared" si="2"/>
        <v>-134195657064</v>
      </c>
      <c r="H79" s="20">
        <f>'Average Total Assets'!F79</f>
        <v>480864783071</v>
      </c>
      <c r="I79" s="9">
        <f t="shared" si="3"/>
        <v>-0.27907150157050681</v>
      </c>
    </row>
    <row r="80" spans="1:9" x14ac:dyDescent="0.35">
      <c r="A80" s="1">
        <v>79</v>
      </c>
      <c r="B80" s="1" t="s">
        <v>18</v>
      </c>
      <c r="C80" s="1">
        <v>2020</v>
      </c>
      <c r="D80" s="20">
        <f>WC!G80</f>
        <v>-4055932218</v>
      </c>
      <c r="E80" s="20">
        <f>NCO!O80</f>
        <v>-6782579330</v>
      </c>
      <c r="F80" s="20">
        <f>FIN!G80</f>
        <v>-84549185751</v>
      </c>
      <c r="G80" s="20">
        <f t="shared" si="2"/>
        <v>-95387697299</v>
      </c>
      <c r="H80" s="20">
        <f>'Average Total Assets'!F80</f>
        <v>376502006661</v>
      </c>
      <c r="I80" s="9">
        <f t="shared" si="3"/>
        <v>-0.25335242737467395</v>
      </c>
    </row>
    <row r="81" spans="1:9" x14ac:dyDescent="0.35">
      <c r="A81" s="1">
        <v>80</v>
      </c>
      <c r="B81" s="1" t="s">
        <v>18</v>
      </c>
      <c r="C81" s="1">
        <v>2021</v>
      </c>
      <c r="D81" s="20">
        <f>WC!G81</f>
        <v>789448742</v>
      </c>
      <c r="E81" s="20">
        <f>-NCO!O81</f>
        <v>3041786331</v>
      </c>
      <c r="F81" s="20">
        <f>-FIN!G81</f>
        <v>40251095766</v>
      </c>
      <c r="G81" s="20">
        <f t="shared" si="2"/>
        <v>44082330839</v>
      </c>
      <c r="H81" s="20">
        <f>'Average Total Assets'!F81</f>
        <v>300598582653</v>
      </c>
      <c r="I81" s="33">
        <f>G81/H81</f>
        <v>0.14664849863875448</v>
      </c>
    </row>
    <row r="82" spans="1:9" x14ac:dyDescent="0.35">
      <c r="A82" s="1">
        <v>81</v>
      </c>
      <c r="B82" s="1" t="s">
        <v>19</v>
      </c>
      <c r="C82" s="1">
        <v>2017</v>
      </c>
      <c r="D82" s="20">
        <f>WC!G82</f>
        <v>0</v>
      </c>
      <c r="E82" s="20">
        <f>NCO!O82</f>
        <v>0</v>
      </c>
      <c r="F82" s="20">
        <f>FIN!G82</f>
        <v>0</v>
      </c>
      <c r="G82" s="20">
        <f t="shared" si="2"/>
        <v>0</v>
      </c>
      <c r="H82" s="20">
        <f>'Average Total Assets'!F82</f>
        <v>25722439000000</v>
      </c>
      <c r="I82" s="9">
        <f t="shared" si="3"/>
        <v>0</v>
      </c>
    </row>
    <row r="83" spans="1:9" x14ac:dyDescent="0.35">
      <c r="A83" s="1">
        <v>82</v>
      </c>
      <c r="B83" s="1" t="s">
        <v>19</v>
      </c>
      <c r="C83" s="1">
        <v>2018</v>
      </c>
      <c r="D83" s="20">
        <f>WC!G83</f>
        <v>303556000000</v>
      </c>
      <c r="E83" s="20">
        <f>NCO!O83</f>
        <v>23169000000</v>
      </c>
      <c r="F83" s="20">
        <f>FIN!G83</f>
        <v>1425766000000</v>
      </c>
      <c r="G83" s="20">
        <f t="shared" si="2"/>
        <v>1752491000000</v>
      </c>
      <c r="H83" s="20">
        <f>'Average Total Assets'!F83</f>
        <v>27362022500000</v>
      </c>
      <c r="I83" s="9">
        <f t="shared" si="3"/>
        <v>6.4048299061226194E-2</v>
      </c>
    </row>
    <row r="84" spans="1:9" x14ac:dyDescent="0.35">
      <c r="A84" s="1">
        <v>83</v>
      </c>
      <c r="B84" s="1" t="s">
        <v>19</v>
      </c>
      <c r="C84" s="1">
        <v>2019</v>
      </c>
      <c r="D84" s="20">
        <f>WC!G84</f>
        <v>121044000000</v>
      </c>
      <c r="E84" s="20">
        <f>NCO!O84</f>
        <v>-59803000000</v>
      </c>
      <c r="F84" s="20">
        <f>FIN!G84</f>
        <v>2009647000000</v>
      </c>
      <c r="G84" s="20">
        <f t="shared" si="2"/>
        <v>2070888000000</v>
      </c>
      <c r="H84" s="20">
        <f>'Average Total Assets'!F84</f>
        <v>29271055500000</v>
      </c>
      <c r="I84" s="9">
        <f t="shared" si="3"/>
        <v>7.0748661591653231E-2</v>
      </c>
    </row>
    <row r="85" spans="1:9" x14ac:dyDescent="0.35">
      <c r="A85" s="1">
        <v>84</v>
      </c>
      <c r="B85" s="1" t="s">
        <v>19</v>
      </c>
      <c r="C85" s="1">
        <v>2020</v>
      </c>
      <c r="D85" s="20">
        <f>WC!G85</f>
        <v>1773468000000</v>
      </c>
      <c r="E85" s="20">
        <f>NCO!O85</f>
        <v>-44683000000</v>
      </c>
      <c r="F85" s="20">
        <f>FIN!G85</f>
        <v>97555000000</v>
      </c>
      <c r="G85" s="20">
        <f t="shared" si="2"/>
        <v>1826340000000</v>
      </c>
      <c r="H85" s="20">
        <f>'Average Total Assets'!F85</f>
        <v>31335553500000</v>
      </c>
      <c r="I85" s="9">
        <f t="shared" si="3"/>
        <v>5.8283317063475518E-2</v>
      </c>
    </row>
    <row r="86" spans="1:9" x14ac:dyDescent="0.35">
      <c r="A86" s="1">
        <v>85</v>
      </c>
      <c r="B86" s="1" t="s">
        <v>19</v>
      </c>
      <c r="C86" s="1">
        <v>2021</v>
      </c>
      <c r="D86" s="20">
        <f>WC!G86</f>
        <v>501732000000</v>
      </c>
      <c r="E86" s="20">
        <f>NCO!O86</f>
        <v>204128000000</v>
      </c>
      <c r="F86" s="20">
        <f>FIN!G86</f>
        <v>542004000000</v>
      </c>
      <c r="G86" s="20">
        <f t="shared" si="2"/>
        <v>1247864000000</v>
      </c>
      <c r="H86" s="20">
        <f>'Average Total Assets'!F86</f>
        <v>32787151000000</v>
      </c>
      <c r="I86" s="9">
        <f t="shared" si="3"/>
        <v>3.805954350837009E-2</v>
      </c>
    </row>
    <row r="87" spans="1:9" x14ac:dyDescent="0.35">
      <c r="A87" s="1">
        <v>86</v>
      </c>
      <c r="B87" s="1" t="s">
        <v>20</v>
      </c>
      <c r="C87" s="1">
        <v>2017</v>
      </c>
      <c r="D87" s="20">
        <f>WC!G87</f>
        <v>0</v>
      </c>
      <c r="E87" s="20">
        <f>NCO!O87</f>
        <v>0</v>
      </c>
      <c r="F87" s="20">
        <f>FIN!G87</f>
        <v>0</v>
      </c>
      <c r="G87" s="20">
        <f t="shared" si="2"/>
        <v>0</v>
      </c>
      <c r="H87" s="20">
        <f>'Average Total Assets'!F87</f>
        <v>24858569000000</v>
      </c>
      <c r="I87" s="9">
        <f t="shared" si="3"/>
        <v>0</v>
      </c>
    </row>
    <row r="88" spans="1:9" x14ac:dyDescent="0.35">
      <c r="A88" s="1">
        <v>87</v>
      </c>
      <c r="B88" s="1" t="s">
        <v>20</v>
      </c>
      <c r="C88" s="1">
        <v>2018</v>
      </c>
      <c r="D88" s="20">
        <f>WC!G88</f>
        <v>3687974000000</v>
      </c>
      <c r="E88" s="20">
        <f>NCO!O88</f>
        <v>-74889000000</v>
      </c>
      <c r="F88" s="20">
        <f>FIN!G88</f>
        <v>-3170339000000</v>
      </c>
      <c r="G88" s="20">
        <f t="shared" si="2"/>
        <v>442746000000</v>
      </c>
      <c r="H88" s="20">
        <f>'Average Total Assets'!F88</f>
        <v>28359098500000</v>
      </c>
      <c r="I88" s="9">
        <f t="shared" si="3"/>
        <v>1.5612132381429543E-2</v>
      </c>
    </row>
    <row r="89" spans="1:9" x14ac:dyDescent="0.35">
      <c r="A89" s="1">
        <v>88</v>
      </c>
      <c r="B89" s="1" t="s">
        <v>20</v>
      </c>
      <c r="C89" s="1">
        <v>2019</v>
      </c>
      <c r="D89" s="20">
        <f>WC!G89</f>
        <v>522432000000</v>
      </c>
      <c r="E89" s="20">
        <f>NCO!O89</f>
        <v>-846370000000</v>
      </c>
      <c r="F89" s="20">
        <f>FIN!G89</f>
        <v>-6398917000000</v>
      </c>
      <c r="G89" s="20">
        <f t="shared" si="2"/>
        <v>-6722855000000</v>
      </c>
      <c r="H89" s="20">
        <f>'Average Total Assets'!F89</f>
        <v>33286064500000</v>
      </c>
      <c r="I89" s="9">
        <f t="shared" si="3"/>
        <v>-0.201972059508567</v>
      </c>
    </row>
    <row r="90" spans="1:9" x14ac:dyDescent="0.35">
      <c r="A90" s="1">
        <v>89</v>
      </c>
      <c r="B90" s="1" t="s">
        <v>20</v>
      </c>
      <c r="C90" s="1">
        <v>2020</v>
      </c>
      <c r="D90" s="20">
        <f>WC!G90</f>
        <v>-1652464000000</v>
      </c>
      <c r="E90" s="20">
        <f>NCO!O90</f>
        <v>1632187000000</v>
      </c>
      <c r="F90" s="20">
        <f>FIN!G90</f>
        <v>-434284000000</v>
      </c>
      <c r="G90" s="20">
        <f t="shared" si="2"/>
        <v>-454561000000</v>
      </c>
      <c r="H90" s="20">
        <f>'Average Total Assets'!F90</f>
        <v>37497187500000</v>
      </c>
      <c r="I90" s="9">
        <f t="shared" si="3"/>
        <v>-1.212253585685593E-2</v>
      </c>
    </row>
    <row r="91" spans="1:9" x14ac:dyDescent="0.35">
      <c r="A91" s="1">
        <v>90</v>
      </c>
      <c r="B91" s="1" t="s">
        <v>20</v>
      </c>
      <c r="C91" s="1">
        <v>2021</v>
      </c>
      <c r="D91" s="20">
        <f>WC!G91</f>
        <v>1289605000000</v>
      </c>
      <c r="E91" s="20">
        <f>NCO!O91</f>
        <v>-479790000000</v>
      </c>
      <c r="F91" s="20">
        <f>FIN!G91</f>
        <v>-2587721000000</v>
      </c>
      <c r="G91" s="20">
        <f t="shared" si="2"/>
        <v>-1777906000000</v>
      </c>
      <c r="H91" s="20">
        <f>'Average Total Assets'!F91</f>
        <v>40927755000000</v>
      </c>
      <c r="I91" s="9">
        <f t="shared" si="3"/>
        <v>-4.3440105620256964E-2</v>
      </c>
    </row>
    <row r="92" spans="1:9" x14ac:dyDescent="0.35">
      <c r="A92" s="1">
        <v>91</v>
      </c>
      <c r="B92" s="1" t="s">
        <v>21</v>
      </c>
      <c r="C92" s="1">
        <v>2017</v>
      </c>
      <c r="D92" s="20">
        <f>WC!G92</f>
        <v>0</v>
      </c>
      <c r="E92" s="20">
        <f>NCO!O92</f>
        <v>0</v>
      </c>
      <c r="F92" s="20">
        <f>FIN!G92</f>
        <v>0</v>
      </c>
      <c r="G92" s="20">
        <f t="shared" si="2"/>
        <v>0</v>
      </c>
      <c r="H92" s="20">
        <f>'Average Total Assets'!F92</f>
        <v>81540954500000</v>
      </c>
      <c r="I92" s="9">
        <f t="shared" si="3"/>
        <v>0</v>
      </c>
    </row>
    <row r="93" spans="1:9" x14ac:dyDescent="0.35">
      <c r="A93" s="1">
        <v>92</v>
      </c>
      <c r="B93" s="1" t="s">
        <v>21</v>
      </c>
      <c r="C93" s="1">
        <v>2018</v>
      </c>
      <c r="D93" s="20">
        <f>WC!G93</f>
        <v>2231146000000</v>
      </c>
      <c r="E93" s="20">
        <f>NCO!O93</f>
        <v>-11826027000000</v>
      </c>
      <c r="F93" s="20">
        <f>FIN!G93</f>
        <v>-440041000000</v>
      </c>
      <c r="G93" s="20">
        <f t="shared" si="2"/>
        <v>-10034922000000</v>
      </c>
      <c r="H93" s="20">
        <f>'Average Total Assets'!F93</f>
        <v>94875119500000</v>
      </c>
      <c r="I93" s="9">
        <f t="shared" si="3"/>
        <v>-0.10576979563119285</v>
      </c>
    </row>
    <row r="94" spans="1:9" x14ac:dyDescent="0.35">
      <c r="A94" s="1">
        <v>93</v>
      </c>
      <c r="B94" s="1" t="s">
        <v>21</v>
      </c>
      <c r="C94" s="1">
        <v>2019</v>
      </c>
      <c r="D94" s="20">
        <f>WC!G94</f>
        <v>-1932425000000</v>
      </c>
      <c r="E94" s="20">
        <f>NCO!O94</f>
        <v>1236729000000</v>
      </c>
      <c r="F94" s="20">
        <f>FIN!G94</f>
        <v>-4219798000000</v>
      </c>
      <c r="G94" s="20">
        <f t="shared" si="2"/>
        <v>-4915494000000</v>
      </c>
      <c r="H94" s="20">
        <f>'Average Total Assets'!F94</f>
        <v>100144154000000</v>
      </c>
      <c r="I94" s="9">
        <f t="shared" si="3"/>
        <v>-4.9084183186569236E-2</v>
      </c>
    </row>
    <row r="95" spans="1:9" x14ac:dyDescent="0.35">
      <c r="A95" s="1">
        <v>94</v>
      </c>
      <c r="B95" s="1" t="s">
        <v>21</v>
      </c>
      <c r="C95" s="1">
        <v>2020</v>
      </c>
      <c r="D95" s="20">
        <f>WC!G95</f>
        <v>-7840233000000</v>
      </c>
      <c r="E95" s="20">
        <f>NCO!O95</f>
        <v>10631647000000</v>
      </c>
      <c r="F95" s="20">
        <f>FIN!G95</f>
        <v>-6912537000000</v>
      </c>
      <c r="G95" s="20">
        <f t="shared" si="2"/>
        <v>-4121123000000</v>
      </c>
      <c r="H95" s="20">
        <f>'Average Total Assets'!F95</f>
        <v>104040542000000</v>
      </c>
      <c r="I95" s="9">
        <f t="shared" si="3"/>
        <v>-3.9610741358882963E-2</v>
      </c>
    </row>
    <row r="96" spans="1:9" x14ac:dyDescent="0.35">
      <c r="A96" s="1">
        <v>95</v>
      </c>
      <c r="B96" s="1" t="s">
        <v>21</v>
      </c>
      <c r="C96" s="1">
        <v>2021</v>
      </c>
      <c r="D96" s="20">
        <f>WC!G96</f>
        <v>-8478572000000</v>
      </c>
      <c r="E96" s="20">
        <f>NCO!O96</f>
        <v>-8205317000000</v>
      </c>
      <c r="F96" s="20">
        <f>FIN!G96</f>
        <v>3748894000000</v>
      </c>
      <c r="G96" s="20">
        <f t="shared" si="2"/>
        <v>-12934995000000</v>
      </c>
      <c r="H96" s="20">
        <f>'Average Total Assets'!F96</f>
        <v>112983113000000</v>
      </c>
      <c r="I96" s="9">
        <f t="shared" si="3"/>
        <v>-0.11448609138606404</v>
      </c>
    </row>
    <row r="97" spans="1:9" x14ac:dyDescent="0.35">
      <c r="A97" s="1">
        <v>96</v>
      </c>
      <c r="B97" s="1" t="s">
        <v>22</v>
      </c>
      <c r="C97" s="1">
        <v>2017</v>
      </c>
      <c r="D97" s="20">
        <f>WC!G97</f>
        <v>0</v>
      </c>
      <c r="E97" s="20">
        <f>NCO!O97</f>
        <v>0</v>
      </c>
      <c r="F97" s="20">
        <f>FIN!G97</f>
        <v>0</v>
      </c>
      <c r="G97" s="20">
        <f t="shared" si="2"/>
        <v>0</v>
      </c>
      <c r="H97" s="20">
        <f>'Average Total Assets'!F97</f>
        <v>7208324000000</v>
      </c>
      <c r="I97" s="9">
        <f t="shared" si="3"/>
        <v>0</v>
      </c>
    </row>
    <row r="98" spans="1:9" x14ac:dyDescent="0.35">
      <c r="A98" s="1">
        <v>97</v>
      </c>
      <c r="B98" s="1" t="s">
        <v>22</v>
      </c>
      <c r="C98" s="1">
        <v>2018</v>
      </c>
      <c r="D98" s="20">
        <f>WC!G98</f>
        <v>-467136000000</v>
      </c>
      <c r="E98" s="20">
        <f>NCO!O98</f>
        <v>94699000000</v>
      </c>
      <c r="F98" s="20">
        <f>FIN!G98</f>
        <v>-896394000000</v>
      </c>
      <c r="G98" s="20">
        <f t="shared" si="2"/>
        <v>-1268831000000</v>
      </c>
      <c r="H98" s="20">
        <f>'Average Total Assets'!F98</f>
        <v>8286519500000</v>
      </c>
      <c r="I98" s="9">
        <f t="shared" si="3"/>
        <v>-0.15311989551222319</v>
      </c>
    </row>
    <row r="99" spans="1:9" x14ac:dyDescent="0.35">
      <c r="A99" s="1">
        <v>98</v>
      </c>
      <c r="B99" s="1" t="s">
        <v>22</v>
      </c>
      <c r="C99" s="1">
        <v>2019</v>
      </c>
      <c r="D99" s="20">
        <f>WC!G99</f>
        <v>341468000000</v>
      </c>
      <c r="E99" s="20">
        <f>NCO!O99</f>
        <v>121897000000</v>
      </c>
      <c r="F99" s="20">
        <f>FIN!G99</f>
        <v>755293000000</v>
      </c>
      <c r="G99" s="20">
        <f t="shared" si="2"/>
        <v>1218658000000</v>
      </c>
      <c r="H99" s="20">
        <f>'Average Total Assets'!F99</f>
        <v>8549238500000</v>
      </c>
      <c r="I99" s="9">
        <f t="shared" si="3"/>
        <v>0.14254579516058652</v>
      </c>
    </row>
    <row r="100" spans="1:9" x14ac:dyDescent="0.35">
      <c r="A100" s="1">
        <v>99</v>
      </c>
      <c r="B100" s="1" t="s">
        <v>22</v>
      </c>
      <c r="C100" s="1">
        <v>2020</v>
      </c>
      <c r="D100" s="20">
        <f>WC!G100</f>
        <v>-1029616000000</v>
      </c>
      <c r="E100" s="20">
        <f>NCO!O100</f>
        <v>91852000000</v>
      </c>
      <c r="F100" s="20">
        <f>FIN!G100</f>
        <v>2829481000000</v>
      </c>
      <c r="G100" s="20">
        <f t="shared" si="2"/>
        <v>1891717000000</v>
      </c>
      <c r="H100" s="20">
        <f>'Average Total Assets'!F100</f>
        <v>6777436000000</v>
      </c>
      <c r="I100" s="9">
        <f t="shared" si="3"/>
        <v>0.27911986184745974</v>
      </c>
    </row>
    <row r="101" spans="1:9" x14ac:dyDescent="0.35">
      <c r="A101" s="1">
        <v>100</v>
      </c>
      <c r="B101" s="1" t="s">
        <v>22</v>
      </c>
      <c r="C101" s="1">
        <v>2021</v>
      </c>
      <c r="D101" s="20">
        <f>WC!G101</f>
        <v>-335893000000</v>
      </c>
      <c r="E101" s="20">
        <f>NCO!O101</f>
        <v>-30428000000</v>
      </c>
      <c r="F101" s="20">
        <f>FIN!G101</f>
        <v>254074000000</v>
      </c>
      <c r="G101" s="20">
        <f t="shared" si="2"/>
        <v>-112247000000</v>
      </c>
      <c r="H101" s="20">
        <f>'Average Total Assets'!F101</f>
        <v>5217393000000</v>
      </c>
      <c r="I101" s="9">
        <f t="shared" si="3"/>
        <v>-2.1514001341282899E-2</v>
      </c>
    </row>
    <row r="102" spans="1:9" ht="15.5" x14ac:dyDescent="0.35">
      <c r="A102" s="1">
        <v>101</v>
      </c>
      <c r="B102" s="2" t="s">
        <v>78</v>
      </c>
      <c r="C102" s="25">
        <v>2017</v>
      </c>
      <c r="D102" s="20">
        <f>WC!G102</f>
        <v>0</v>
      </c>
      <c r="E102" s="20">
        <f>NCO!O102</f>
        <v>0</v>
      </c>
      <c r="F102" s="20">
        <f>FIN!G102</f>
        <v>0</v>
      </c>
      <c r="G102" s="20">
        <f t="shared" si="2"/>
        <v>0</v>
      </c>
      <c r="H102" s="20">
        <f>'Average Total Assets'!F102</f>
        <v>1070215752000</v>
      </c>
      <c r="I102" s="9">
        <f t="shared" si="3"/>
        <v>0</v>
      </c>
    </row>
    <row r="103" spans="1:9" ht="15.5" x14ac:dyDescent="0.35">
      <c r="A103" s="1">
        <v>102</v>
      </c>
      <c r="B103" s="2"/>
      <c r="C103" s="25">
        <v>2018</v>
      </c>
      <c r="D103" s="20">
        <f>WC!G103</f>
        <v>19145463000</v>
      </c>
      <c r="E103" s="20">
        <f>NCO!O103</f>
        <v>-7828071000</v>
      </c>
      <c r="F103" s="20">
        <f>FIN!G103</f>
        <v>69419395000</v>
      </c>
      <c r="G103" s="20">
        <f t="shared" si="2"/>
        <v>80736787000</v>
      </c>
      <c r="H103" s="20">
        <f>'Average Total Assets'!F103</f>
        <v>1068987124000</v>
      </c>
      <c r="I103" s="9">
        <f t="shared" si="3"/>
        <v>7.552643543347301E-2</v>
      </c>
    </row>
    <row r="104" spans="1:9" ht="15.5" x14ac:dyDescent="0.35">
      <c r="A104" s="1">
        <v>103</v>
      </c>
      <c r="B104" s="2"/>
      <c r="C104" s="25">
        <v>2019</v>
      </c>
      <c r="D104" s="20">
        <f>WC!G104</f>
        <v>-17091272000</v>
      </c>
      <c r="E104" s="20">
        <f>NCO!O104</f>
        <v>-5361082000</v>
      </c>
      <c r="F104" s="20">
        <f>FIN!G104</f>
        <v>-51204153000</v>
      </c>
      <c r="G104" s="20">
        <f t="shared" si="2"/>
        <v>-73656507000</v>
      </c>
      <c r="H104" s="20">
        <f>'Average Total Assets'!F104</f>
        <v>1109718793500</v>
      </c>
      <c r="I104" s="9">
        <f t="shared" si="3"/>
        <v>-6.6374028656116468E-2</v>
      </c>
    </row>
    <row r="105" spans="1:9" ht="15.5" x14ac:dyDescent="0.35">
      <c r="A105" s="1">
        <v>104</v>
      </c>
      <c r="B105" s="2"/>
      <c r="C105" s="25">
        <v>2020</v>
      </c>
      <c r="D105" s="20">
        <f>WC!G105</f>
        <v>-190178543000</v>
      </c>
      <c r="E105" s="20">
        <f>NCO!O105</f>
        <v>7574080000</v>
      </c>
      <c r="F105" s="20">
        <f>FIN!G105</f>
        <v>293586909000</v>
      </c>
      <c r="G105" s="20">
        <f t="shared" si="2"/>
        <v>110982446000</v>
      </c>
      <c r="H105" s="20">
        <f>'Average Total Assets'!F105</f>
        <v>1008957633000</v>
      </c>
      <c r="I105" s="9">
        <f t="shared" si="3"/>
        <v>0.1099971320599544</v>
      </c>
    </row>
    <row r="106" spans="1:9" ht="15.5" x14ac:dyDescent="0.35">
      <c r="A106" s="1">
        <v>105</v>
      </c>
      <c r="B106" s="2"/>
      <c r="C106" s="25">
        <v>2021</v>
      </c>
      <c r="D106" s="20">
        <f>WC!G106</f>
        <v>-45255715000</v>
      </c>
      <c r="E106" s="20">
        <f>NCO!O106</f>
        <v>729454000</v>
      </c>
      <c r="F106" s="20">
        <f>FIN!G106</f>
        <v>65348114000</v>
      </c>
      <c r="G106" s="20">
        <f t="shared" si="2"/>
        <v>20821853000</v>
      </c>
      <c r="H106" s="20">
        <f>'Average Total Assets'!F106</f>
        <v>841308440000</v>
      </c>
      <c r="I106" s="9">
        <f t="shared" si="3"/>
        <v>2.4749368971028033E-2</v>
      </c>
    </row>
    <row r="107" spans="1:9" ht="15.5" x14ac:dyDescent="0.35">
      <c r="A107" s="1">
        <v>106</v>
      </c>
      <c r="B107" s="2" t="s">
        <v>79</v>
      </c>
      <c r="C107" s="25">
        <v>2017</v>
      </c>
      <c r="D107" s="20">
        <f>WC!G107</f>
        <v>0</v>
      </c>
      <c r="E107" s="20">
        <f>NCO!O107</f>
        <v>0</v>
      </c>
      <c r="F107" s="20">
        <f>FIN!G107</f>
        <v>0</v>
      </c>
      <c r="G107" s="20">
        <f t="shared" si="2"/>
        <v>0</v>
      </c>
      <c r="H107" s="20">
        <f>'Average Total Assets'!F107</f>
        <v>105924500500000</v>
      </c>
      <c r="I107" s="9">
        <f t="shared" si="3"/>
        <v>0</v>
      </c>
    </row>
    <row r="108" spans="1:9" ht="15.5" x14ac:dyDescent="0.35">
      <c r="A108" s="1">
        <v>107</v>
      </c>
      <c r="B108" s="2"/>
      <c r="C108" s="25">
        <v>2018</v>
      </c>
      <c r="D108" s="20">
        <f>WC!G108</f>
        <v>6400862000000</v>
      </c>
      <c r="E108" s="20">
        <f>NCO!O108</f>
        <v>-1687504000000</v>
      </c>
      <c r="F108" s="20">
        <f>FIN!G108</f>
        <v>10277627000000</v>
      </c>
      <c r="G108" s="20">
        <f t="shared" si="2"/>
        <v>14990985000000</v>
      </c>
      <c r="H108" s="20">
        <f>'Average Total Assets'!F108</f>
        <v>101043461000000</v>
      </c>
      <c r="I108" s="9">
        <f t="shared" si="3"/>
        <v>0.14836175296885368</v>
      </c>
    </row>
    <row r="109" spans="1:9" ht="15.5" x14ac:dyDescent="0.35">
      <c r="A109" s="1">
        <v>108</v>
      </c>
      <c r="B109" s="2"/>
      <c r="C109" s="25">
        <v>2019</v>
      </c>
      <c r="D109" s="20">
        <f>WC!G109</f>
        <v>-795069000000</v>
      </c>
      <c r="E109" s="20">
        <f>NCO!O109</f>
        <v>617802000000</v>
      </c>
      <c r="F109" s="20">
        <f>FIN!G109</f>
        <v>-4083437000000</v>
      </c>
      <c r="G109" s="20">
        <f t="shared" si="2"/>
        <v>-4260704000000</v>
      </c>
      <c r="H109" s="20">
        <f>'Average Total Assets'!F109</f>
        <v>97954085500000</v>
      </c>
      <c r="I109" s="9">
        <f t="shared" si="3"/>
        <v>-4.3496950415610788E-2</v>
      </c>
    </row>
    <row r="110" spans="1:9" ht="15.5" x14ac:dyDescent="0.35">
      <c r="A110" s="1">
        <v>109</v>
      </c>
      <c r="B110" s="2"/>
      <c r="C110" s="25">
        <v>2020</v>
      </c>
      <c r="D110" s="20">
        <f>WC!G110</f>
        <v>7617242000000</v>
      </c>
      <c r="E110" s="20">
        <f>NCO!O110</f>
        <v>-2273240000000</v>
      </c>
      <c r="F110" s="20">
        <f>FIN!G110</f>
        <v>16843249000000</v>
      </c>
      <c r="G110" s="20">
        <f t="shared" si="2"/>
        <v>22187251000000</v>
      </c>
      <c r="H110" s="20">
        <f>'Average Total Assets'!F110</f>
        <v>90101413000000</v>
      </c>
      <c r="I110" s="9">
        <f t="shared" si="3"/>
        <v>0.24624753665072932</v>
      </c>
    </row>
    <row r="111" spans="1:9" ht="15.5" x14ac:dyDescent="0.35">
      <c r="A111" s="1">
        <v>110</v>
      </c>
      <c r="B111" s="2"/>
      <c r="C111" s="25">
        <v>2021</v>
      </c>
      <c r="D111" s="20">
        <f>WC!G111</f>
        <v>801496000000</v>
      </c>
      <c r="E111" s="20">
        <f>NCO!O111</f>
        <v>146176000000</v>
      </c>
      <c r="F111" s="20">
        <f>FIN!G111</f>
        <v>-2170185000000</v>
      </c>
      <c r="G111" s="20">
        <f t="shared" si="2"/>
        <v>-1222513000000</v>
      </c>
      <c r="H111" s="20">
        <f>'Average Total Assets'!F111</f>
        <v>84577126000000</v>
      </c>
      <c r="I111" s="9">
        <f t="shared" si="3"/>
        <v>-1.4454416434060435E-2</v>
      </c>
    </row>
    <row r="112" spans="1:9" ht="15.5" x14ac:dyDescent="0.35">
      <c r="A112" s="1">
        <v>111</v>
      </c>
      <c r="B112" s="2" t="s">
        <v>80</v>
      </c>
      <c r="C112" s="25">
        <v>2017</v>
      </c>
      <c r="D112" s="20">
        <f>WC!G112</f>
        <v>0</v>
      </c>
      <c r="E112" s="20">
        <f>NCO!O112</f>
        <v>0</v>
      </c>
      <c r="F112" s="20">
        <f>FIN!G112</f>
        <v>0</v>
      </c>
      <c r="G112" s="20">
        <f t="shared" si="2"/>
        <v>0</v>
      </c>
      <c r="H112" s="20">
        <f>'Average Total Assets'!F112</f>
        <v>11203034324962.5</v>
      </c>
      <c r="I112" s="9">
        <f t="shared" si="3"/>
        <v>0</v>
      </c>
    </row>
    <row r="113" spans="1:9" ht="15.5" x14ac:dyDescent="0.35">
      <c r="A113" s="1">
        <v>112</v>
      </c>
      <c r="B113" s="2"/>
      <c r="C113" s="25">
        <v>2018</v>
      </c>
      <c r="D113" s="20">
        <f>WC!G113</f>
        <v>1005308489997</v>
      </c>
      <c r="E113" s="20">
        <f>NCO!O113</f>
        <v>-241277765591</v>
      </c>
      <c r="F113" s="20">
        <f>FIN!G113</f>
        <v>-692654449345</v>
      </c>
      <c r="G113" s="20">
        <f t="shared" si="2"/>
        <v>71376275061</v>
      </c>
      <c r="H113" s="20">
        <f>'Average Total Assets'!F113</f>
        <v>11955461912645</v>
      </c>
      <c r="I113" s="9">
        <f t="shared" si="3"/>
        <v>5.9701812930796974E-3</v>
      </c>
    </row>
    <row r="114" spans="1:9" ht="15.5" x14ac:dyDescent="0.35">
      <c r="A114" s="1">
        <v>113</v>
      </c>
      <c r="B114" s="2"/>
      <c r="C114" s="25">
        <v>2019</v>
      </c>
      <c r="D114" s="20">
        <f>WC!G114</f>
        <v>-386855006632</v>
      </c>
      <c r="E114" s="20">
        <f>NCO!O114</f>
        <v>137302123970</v>
      </c>
      <c r="F114" s="20">
        <f>FIN!G114</f>
        <v>115083278697</v>
      </c>
      <c r="G114" s="20">
        <f t="shared" si="2"/>
        <v>-134469603965</v>
      </c>
      <c r="H114" s="20">
        <f>'Average Total Assets'!F114</f>
        <v>12496649072098.5</v>
      </c>
      <c r="I114" s="9">
        <f t="shared" si="3"/>
        <v>-1.0760452917353083E-2</v>
      </c>
    </row>
    <row r="115" spans="1:9" ht="15.5" x14ac:dyDescent="0.35">
      <c r="A115" s="1">
        <v>114</v>
      </c>
      <c r="B115" s="2"/>
      <c r="C115" s="25">
        <v>2020</v>
      </c>
      <c r="D115" s="20">
        <f>WC!G115</f>
        <v>-1984973678055</v>
      </c>
      <c r="E115" s="20">
        <f>NCO!O115</f>
        <v>-83377412353</v>
      </c>
      <c r="F115" s="20">
        <f>FIN!G115</f>
        <v>1629050430988</v>
      </c>
      <c r="G115" s="20">
        <f t="shared" si="2"/>
        <v>-439300659420</v>
      </c>
      <c r="H115" s="20">
        <f>'Average Total Assets'!F115</f>
        <v>13529987003898</v>
      </c>
      <c r="I115" s="9">
        <f t="shared" si="3"/>
        <v>-3.2468668247311483E-2</v>
      </c>
    </row>
    <row r="116" spans="1:9" ht="15.5" x14ac:dyDescent="0.35">
      <c r="A116" s="1">
        <v>115</v>
      </c>
      <c r="B116" s="2"/>
      <c r="C116" s="25">
        <v>2021</v>
      </c>
      <c r="D116" s="20">
        <f>WC!G116</f>
        <v>-401335442325</v>
      </c>
      <c r="E116" s="20">
        <f>NCO!O116</f>
        <v>36458889880</v>
      </c>
      <c r="F116" s="20">
        <f>FIN!G116</f>
        <v>-802662733863</v>
      </c>
      <c r="G116" s="20">
        <f t="shared" si="2"/>
        <v>-1167539286308</v>
      </c>
      <c r="H116" s="20">
        <f>'Average Total Assets'!F116</f>
        <v>15071453766886.5</v>
      </c>
      <c r="I116" s="9">
        <f t="shared" si="3"/>
        <v>-7.7466932146466272E-2</v>
      </c>
    </row>
    <row r="117" spans="1:9" ht="15.5" x14ac:dyDescent="0.35">
      <c r="A117" s="1">
        <v>116</v>
      </c>
      <c r="B117" s="2" t="s">
        <v>81</v>
      </c>
      <c r="C117" s="25">
        <v>2017</v>
      </c>
      <c r="D117" s="20">
        <f>WC!G117</f>
        <v>0</v>
      </c>
      <c r="E117" s="20">
        <f>NCO!O117</f>
        <v>0</v>
      </c>
      <c r="F117" s="20">
        <f>FIN!G117</f>
        <v>0</v>
      </c>
      <c r="G117" s="20">
        <f t="shared" si="2"/>
        <v>0</v>
      </c>
      <c r="H117" s="20">
        <f>'Average Total Assets'!F117</f>
        <v>1002936900500000</v>
      </c>
      <c r="I117" s="9">
        <f t="shared" si="3"/>
        <v>0</v>
      </c>
    </row>
    <row r="118" spans="1:9" ht="15.5" x14ac:dyDescent="0.35">
      <c r="A118" s="1">
        <v>117</v>
      </c>
      <c r="B118" s="2"/>
      <c r="C118" s="25">
        <v>2018</v>
      </c>
      <c r="D118" s="20">
        <f>WC!G118</f>
        <v>74342062000000</v>
      </c>
      <c r="E118" s="20">
        <f>NCO!O118</f>
        <v>-33278293000000</v>
      </c>
      <c r="F118" s="20">
        <f>FIN!G118</f>
        <v>-164888080000000</v>
      </c>
      <c r="G118" s="20">
        <f t="shared" si="2"/>
        <v>-123824311000000</v>
      </c>
      <c r="H118" s="20">
        <f>'Average Total Assets'!F118</f>
        <v>1212172890500000</v>
      </c>
      <c r="I118" s="9">
        <f t="shared" si="3"/>
        <v>-0.10215070141432106</v>
      </c>
    </row>
    <row r="119" spans="1:9" ht="15.5" x14ac:dyDescent="0.35">
      <c r="A119" s="1">
        <v>118</v>
      </c>
      <c r="B119" s="2"/>
      <c r="C119" s="25">
        <v>2019</v>
      </c>
      <c r="D119" s="20">
        <f>WC!G119</f>
        <v>-65755398000000</v>
      </c>
      <c r="E119" s="20">
        <f>NCO!O119</f>
        <v>77836267000000</v>
      </c>
      <c r="F119" s="20">
        <f>FIN!G119</f>
        <v>-46880656000000</v>
      </c>
      <c r="G119" s="20">
        <f t="shared" si="2"/>
        <v>-34799787000000</v>
      </c>
      <c r="H119" s="20">
        <f>'Average Total Assets'!F119</f>
        <v>1356828566000000</v>
      </c>
      <c r="I119" s="9">
        <f t="shared" si="3"/>
        <v>-2.5647887929269909E-2</v>
      </c>
    </row>
    <row r="120" spans="1:9" ht="15.5" x14ac:dyDescent="0.35">
      <c r="A120" s="1">
        <v>119</v>
      </c>
      <c r="B120" s="2"/>
      <c r="C120" s="25">
        <v>2020</v>
      </c>
      <c r="D120" s="20">
        <f>WC!G120</f>
        <v>-156424373000000</v>
      </c>
      <c r="E120" s="20">
        <f>NCO!O120</f>
        <v>102811965000000</v>
      </c>
      <c r="F120" s="20">
        <f>FIN!G120</f>
        <v>60086449000000</v>
      </c>
      <c r="G120" s="20">
        <f t="shared" si="2"/>
        <v>6474041000000</v>
      </c>
      <c r="H120" s="20">
        <f>'Average Total Assets'!F120</f>
        <v>1513412092000000</v>
      </c>
      <c r="I120" s="9">
        <f t="shared" si="3"/>
        <v>4.2777780316559013E-3</v>
      </c>
    </row>
    <row r="121" spans="1:9" ht="15.5" x14ac:dyDescent="0.35">
      <c r="A121" s="1">
        <v>120</v>
      </c>
      <c r="B121" s="2"/>
      <c r="C121" s="25">
        <v>2021</v>
      </c>
      <c r="D121" s="20">
        <f>WC!G121</f>
        <v>106109521000000</v>
      </c>
      <c r="E121" s="20">
        <f>NCO!O121</f>
        <v>-117320494800000</v>
      </c>
      <c r="F121" s="20">
        <f>FIN!G121</f>
        <v>-100238931200000</v>
      </c>
      <c r="G121" s="20">
        <f t="shared" si="2"/>
        <v>-111449905000000</v>
      </c>
      <c r="H121" s="20">
        <f>'Average Total Assets'!F121</f>
        <v>1644081539000000</v>
      </c>
      <c r="I121" s="9">
        <f t="shared" si="3"/>
        <v>-6.7788550845105017E-2</v>
      </c>
    </row>
    <row r="122" spans="1:9" ht="15.5" x14ac:dyDescent="0.35">
      <c r="A122" s="1">
        <v>121</v>
      </c>
      <c r="B122" s="2" t="s">
        <v>82</v>
      </c>
      <c r="C122" s="25">
        <v>2017</v>
      </c>
      <c r="D122" s="20">
        <f>WC!G122</f>
        <v>0</v>
      </c>
      <c r="E122" s="20">
        <f>NCO!O122</f>
        <v>0</v>
      </c>
      <c r="F122" s="20">
        <f>FIN!G122</f>
        <v>0</v>
      </c>
      <c r="G122" s="20">
        <f t="shared" si="2"/>
        <v>0</v>
      </c>
      <c r="H122" s="20">
        <f>'Average Total Assets'!F122</f>
        <v>4925661715992.5</v>
      </c>
      <c r="I122" s="9">
        <f t="shared" si="3"/>
        <v>0</v>
      </c>
    </row>
    <row r="123" spans="1:9" ht="15.5" x14ac:dyDescent="0.35">
      <c r="A123" s="1">
        <v>122</v>
      </c>
      <c r="B123" s="2"/>
      <c r="C123" s="25">
        <v>2018</v>
      </c>
      <c r="D123" s="20">
        <f>WC!G123</f>
        <v>-15587480618</v>
      </c>
      <c r="E123" s="20">
        <f>NCO!O123</f>
        <v>32443608458</v>
      </c>
      <c r="F123" s="20">
        <f>FIN!G123</f>
        <v>307967475838</v>
      </c>
      <c r="G123" s="20">
        <f t="shared" si="2"/>
        <v>324823603678</v>
      </c>
      <c r="H123" s="20">
        <f>'Average Total Assets'!F123</f>
        <v>4769262082390.5</v>
      </c>
      <c r="I123" s="9">
        <f t="shared" si="3"/>
        <v>6.8107727792385955E-2</v>
      </c>
    </row>
    <row r="124" spans="1:9" ht="15.5" x14ac:dyDescent="0.35">
      <c r="A124" s="1">
        <v>123</v>
      </c>
      <c r="B124" s="2"/>
      <c r="C124" s="25">
        <v>2019</v>
      </c>
      <c r="D124" s="20">
        <f>WC!G124</f>
        <v>-368275264999</v>
      </c>
      <c r="E124" s="20">
        <f>NCO!O124</f>
        <v>380398038553</v>
      </c>
      <c r="F124" s="20">
        <f>FIN!G124</f>
        <v>91620644127</v>
      </c>
      <c r="G124" s="20">
        <f t="shared" si="2"/>
        <v>103743417681</v>
      </c>
      <c r="H124" s="20">
        <f>'Average Total Assets'!F124</f>
        <v>4828731897869.5</v>
      </c>
      <c r="I124" s="9">
        <f t="shared" si="3"/>
        <v>2.1484609184198641E-2</v>
      </c>
    </row>
    <row r="125" spans="1:9" ht="15.5" x14ac:dyDescent="0.35">
      <c r="A125" s="1">
        <v>124</v>
      </c>
      <c r="B125" s="2"/>
      <c r="C125" s="25">
        <v>2020</v>
      </c>
      <c r="D125" s="20">
        <f>WC!G125</f>
        <v>-150979956553</v>
      </c>
      <c r="E125" s="20">
        <f>NCO!O125</f>
        <v>-23595078174</v>
      </c>
      <c r="F125" s="20">
        <f>FIN!G125</f>
        <v>186772678619</v>
      </c>
      <c r="G125" s="20">
        <f t="shared" si="2"/>
        <v>12197643892</v>
      </c>
      <c r="H125" s="20">
        <f>'Average Total Assets'!F125</f>
        <v>5272529523777.5</v>
      </c>
      <c r="I125" s="9">
        <f t="shared" si="3"/>
        <v>2.313433018628411E-3</v>
      </c>
    </row>
    <row r="126" spans="1:9" ht="15.5" x14ac:dyDescent="0.35">
      <c r="A126" s="1">
        <v>125</v>
      </c>
      <c r="B126" s="2"/>
      <c r="C126" s="25">
        <v>2021</v>
      </c>
      <c r="D126" s="20">
        <f>WC!G126</f>
        <v>-5649264401529</v>
      </c>
      <c r="E126" s="20">
        <f>NCO!O126</f>
        <v>4950073690799</v>
      </c>
      <c r="F126" s="20">
        <f>FIN!G126</f>
        <v>-1645653827402</v>
      </c>
      <c r="G126" s="20">
        <f t="shared" si="2"/>
        <v>-2344844538132</v>
      </c>
      <c r="H126" s="20">
        <f>'Average Total Assets'!F126</f>
        <v>8379566541410.5</v>
      </c>
      <c r="I126" s="9">
        <f t="shared" si="3"/>
        <v>-0.27982885827615867</v>
      </c>
    </row>
    <row r="127" spans="1:9" ht="15.5" x14ac:dyDescent="0.35">
      <c r="A127" s="1">
        <v>126</v>
      </c>
      <c r="B127" s="2" t="s">
        <v>83</v>
      </c>
      <c r="C127" s="25">
        <v>2017</v>
      </c>
      <c r="D127" s="20">
        <f>WC!G127</f>
        <v>0</v>
      </c>
      <c r="E127" s="20">
        <f>NCO!O127</f>
        <v>0</v>
      </c>
      <c r="F127" s="20">
        <f>FIN!G127</f>
        <v>0</v>
      </c>
      <c r="G127" s="20">
        <f t="shared" si="2"/>
        <v>0</v>
      </c>
      <c r="H127" s="20">
        <f>'Average Total Assets'!F127</f>
        <v>2741217000000</v>
      </c>
      <c r="I127" s="9">
        <f t="shared" si="3"/>
        <v>0</v>
      </c>
    </row>
    <row r="128" spans="1:9" ht="15.5" x14ac:dyDescent="0.35">
      <c r="A128" s="1">
        <v>127</v>
      </c>
      <c r="B128" s="2"/>
      <c r="C128" s="25">
        <v>2018</v>
      </c>
      <c r="D128" s="20">
        <f>WC!G128</f>
        <v>50170000000</v>
      </c>
      <c r="E128" s="20">
        <f>NCO!O128</f>
        <v>46354803788</v>
      </c>
      <c r="F128" s="20">
        <f>FIN!G128</f>
        <v>-817989000000</v>
      </c>
      <c r="G128" s="20">
        <f t="shared" si="2"/>
        <v>-721464196212</v>
      </c>
      <c r="H128" s="20">
        <f>'Average Total Assets'!F128</f>
        <v>3488759500000</v>
      </c>
      <c r="I128" s="9">
        <f t="shared" si="3"/>
        <v>-0.20679677008747666</v>
      </c>
    </row>
    <row r="129" spans="1:9" ht="15.5" x14ac:dyDescent="0.35">
      <c r="A129" s="1">
        <v>128</v>
      </c>
      <c r="B129" s="2"/>
      <c r="C129" s="25">
        <v>2019</v>
      </c>
      <c r="D129" s="20">
        <f>WC!G129</f>
        <v>-647791000000</v>
      </c>
      <c r="E129" s="20">
        <f>NCO!O129</f>
        <v>15448320218</v>
      </c>
      <c r="F129" s="20">
        <f>FIN!G129</f>
        <v>-737947000000</v>
      </c>
      <c r="G129" s="20">
        <f t="shared" si="2"/>
        <v>-1370289679782</v>
      </c>
      <c r="H129" s="20">
        <f>'Average Total Assets'!F129</f>
        <v>4558301500000</v>
      </c>
      <c r="I129" s="9">
        <f t="shared" si="3"/>
        <v>-0.3006140949171528</v>
      </c>
    </row>
    <row r="130" spans="1:9" ht="15.5" x14ac:dyDescent="0.35">
      <c r="A130" s="1">
        <v>129</v>
      </c>
      <c r="B130" s="2"/>
      <c r="C130" s="25">
        <v>2020</v>
      </c>
      <c r="D130" s="20">
        <f>WC!G130</f>
        <v>-1677133000000</v>
      </c>
      <c r="E130" s="20">
        <f>NCO!O130</f>
        <v>-29482000000</v>
      </c>
      <c r="F130" s="20">
        <f>FIN!G130</f>
        <v>-1476545000000</v>
      </c>
      <c r="G130" s="20">
        <f t="shared" si="2"/>
        <v>-3183160000000</v>
      </c>
      <c r="H130" s="20">
        <f>'Average Total Assets'!F130</f>
        <v>6850057000000</v>
      </c>
      <c r="I130" s="9">
        <f t="shared" si="3"/>
        <v>-0.46469102373892657</v>
      </c>
    </row>
    <row r="131" spans="1:9" ht="15.5" x14ac:dyDescent="0.35">
      <c r="A131" s="1">
        <v>130</v>
      </c>
      <c r="B131" s="2"/>
      <c r="C131" s="25">
        <v>2021</v>
      </c>
      <c r="D131" s="20">
        <f>WC!G131</f>
        <v>-1576559000000</v>
      </c>
      <c r="E131" s="20">
        <f>NCO!O131</f>
        <v>185265000000</v>
      </c>
      <c r="F131" s="20">
        <f>FIN!G131</f>
        <v>-2882175000000</v>
      </c>
      <c r="G131" s="20">
        <f t="shared" ref="G131:G176" si="4">D131+E131+F131</f>
        <v>-4273469000000</v>
      </c>
      <c r="H131" s="20">
        <f>'Average Total Assets'!F131</f>
        <v>11746767500000</v>
      </c>
      <c r="I131" s="9">
        <f t="shared" ref="I131:I176" si="5">G131/H131</f>
        <v>-0.36379957294634457</v>
      </c>
    </row>
    <row r="132" spans="1:9" ht="15.5" x14ac:dyDescent="0.35">
      <c r="A132" s="1">
        <v>131</v>
      </c>
      <c r="B132" s="2" t="s">
        <v>84</v>
      </c>
      <c r="C132" s="25">
        <v>2017</v>
      </c>
      <c r="D132" s="20">
        <f>WC!G132</f>
        <v>0</v>
      </c>
      <c r="E132" s="20">
        <f>NCO!O132</f>
        <v>0</v>
      </c>
      <c r="F132" s="20">
        <f>FIN!G132</f>
        <v>0</v>
      </c>
      <c r="G132" s="20">
        <f t="shared" si="4"/>
        <v>0</v>
      </c>
      <c r="H132" s="20">
        <f>'Average Total Assets'!F132</f>
        <v>47275765500000</v>
      </c>
      <c r="I132" s="9">
        <f t="shared" si="5"/>
        <v>0</v>
      </c>
    </row>
    <row r="133" spans="1:9" ht="15.5" x14ac:dyDescent="0.35">
      <c r="A133" s="1">
        <v>132</v>
      </c>
      <c r="B133" s="2"/>
      <c r="C133" s="25">
        <v>2018</v>
      </c>
      <c r="D133" s="20">
        <f>WC!G133</f>
        <v>-3006644000000</v>
      </c>
      <c r="E133" s="20">
        <f>NCO!O133</f>
        <v>-524631000000</v>
      </c>
      <c r="F133" s="20">
        <f>FIN!G133</f>
        <v>-6898653000000</v>
      </c>
      <c r="G133" s="20">
        <f t="shared" si="4"/>
        <v>-10429928000000</v>
      </c>
      <c r="H133" s="20">
        <f>'Average Total Assets'!F133</f>
        <v>57103849500000</v>
      </c>
      <c r="I133" s="9">
        <f t="shared" si="5"/>
        <v>-0.18264842197722589</v>
      </c>
    </row>
    <row r="134" spans="1:9" ht="15.5" x14ac:dyDescent="0.35">
      <c r="A134" s="1">
        <v>133</v>
      </c>
      <c r="B134" s="2"/>
      <c r="C134" s="25">
        <v>2019</v>
      </c>
      <c r="D134" s="20">
        <f>WC!G134</f>
        <v>140413000000</v>
      </c>
      <c r="E134" s="20">
        <f>NCO!O134</f>
        <v>349157000000</v>
      </c>
      <c r="F134" s="20">
        <f>FIN!G134</f>
        <v>-12312838000000</v>
      </c>
      <c r="G134" s="20">
        <f t="shared" si="4"/>
        <v>-11823268000000</v>
      </c>
      <c r="H134" s="20">
        <f>'Average Total Assets'!F134</f>
        <v>69722715500000</v>
      </c>
      <c r="I134" s="9">
        <f t="shared" si="5"/>
        <v>-0.16957555246109141</v>
      </c>
    </row>
    <row r="135" spans="1:9" ht="15.5" x14ac:dyDescent="0.35">
      <c r="A135" s="1">
        <v>134</v>
      </c>
      <c r="B135" s="2"/>
      <c r="C135" s="25">
        <v>2020</v>
      </c>
      <c r="D135" s="20">
        <f>WC!G135</f>
        <v>-5846242000000</v>
      </c>
      <c r="E135" s="20">
        <f>NCO!O135</f>
        <v>495193000000</v>
      </c>
      <c r="F135" s="20">
        <f>FIN!G135</f>
        <v>-784201000000</v>
      </c>
      <c r="G135" s="20">
        <f t="shared" si="4"/>
        <v>-6135250000000</v>
      </c>
      <c r="H135" s="20">
        <f>'Average Total Assets'!F135</f>
        <v>80187882500000</v>
      </c>
      <c r="I135" s="9">
        <f t="shared" si="5"/>
        <v>-7.6510936674253738E-2</v>
      </c>
    </row>
    <row r="136" spans="1:9" ht="15.5" x14ac:dyDescent="0.35">
      <c r="A136" s="1">
        <v>135</v>
      </c>
      <c r="B136" s="2"/>
      <c r="C136" s="25">
        <v>2021</v>
      </c>
      <c r="D136" s="20">
        <f>WC!G136</f>
        <v>-16595632000000</v>
      </c>
      <c r="E136" s="20">
        <f>NCO!O136</f>
        <v>-199248000000</v>
      </c>
      <c r="F136" s="20">
        <f>FIN!G136</f>
        <v>1526117000000</v>
      </c>
      <c r="G136" s="20">
        <f t="shared" si="4"/>
        <v>-15268763000000</v>
      </c>
      <c r="H136" s="20">
        <f>'Average Total Assets'!F136</f>
        <v>92171391000000</v>
      </c>
      <c r="I136" s="9">
        <f t="shared" si="5"/>
        <v>-0.16565620670735023</v>
      </c>
    </row>
    <row r="137" spans="1:9" ht="15.5" x14ac:dyDescent="0.35">
      <c r="A137" s="1">
        <v>136</v>
      </c>
      <c r="B137" s="2" t="s">
        <v>85</v>
      </c>
      <c r="C137" s="25">
        <v>2017</v>
      </c>
      <c r="D137" s="20">
        <f>WC!G137</f>
        <v>0</v>
      </c>
      <c r="E137" s="20">
        <f>NCO!O137</f>
        <v>0</v>
      </c>
      <c r="F137" s="20">
        <f>FIN!G137</f>
        <v>0</v>
      </c>
      <c r="G137" s="20">
        <f t="shared" si="4"/>
        <v>0</v>
      </c>
      <c r="H137" s="20">
        <f>'Average Total Assets'!F137</f>
        <v>1081703428000000</v>
      </c>
      <c r="I137" s="9">
        <f t="shared" si="5"/>
        <v>0</v>
      </c>
    </row>
    <row r="138" spans="1:9" ht="15.5" x14ac:dyDescent="0.35">
      <c r="A138" s="1">
        <v>137</v>
      </c>
      <c r="B138" s="2"/>
      <c r="C138" s="25">
        <v>2018</v>
      </c>
      <c r="D138" s="20">
        <f>WC!G138</f>
        <v>21192963000000</v>
      </c>
      <c r="E138" s="20">
        <f>NCO!O138</f>
        <v>2709100000000</v>
      </c>
      <c r="F138" s="20">
        <f>FIN!G138</f>
        <v>-37804971000000</v>
      </c>
      <c r="G138" s="20">
        <f t="shared" si="4"/>
        <v>-13902908000000</v>
      </c>
      <c r="H138" s="20">
        <f>'Average Total Assets'!F138</f>
        <v>1163476470500000</v>
      </c>
      <c r="I138" s="9">
        <f t="shared" si="5"/>
        <v>-1.1949453514969042E-2</v>
      </c>
    </row>
    <row r="139" spans="1:9" ht="15.5" x14ac:dyDescent="0.35">
      <c r="A139" s="1">
        <v>138</v>
      </c>
      <c r="B139" s="2"/>
      <c r="C139" s="25">
        <v>2019</v>
      </c>
      <c r="D139" s="20">
        <f>WC!G139</f>
        <v>14647041000000</v>
      </c>
      <c r="E139" s="20">
        <f>NCO!O139</f>
        <v>-2098282000000</v>
      </c>
      <c r="F139" s="20">
        <f>FIN!G139</f>
        <v>-61740738000000</v>
      </c>
      <c r="G139" s="20">
        <f t="shared" si="4"/>
        <v>-49191979000000</v>
      </c>
      <c r="H139" s="20">
        <f>'Average Total Assets'!F139</f>
        <v>1260249214500000</v>
      </c>
      <c r="I139" s="9">
        <f t="shared" si="5"/>
        <v>-3.9033532760039659E-2</v>
      </c>
    </row>
    <row r="140" spans="1:9" ht="15.5" x14ac:dyDescent="0.35">
      <c r="A140" s="1">
        <v>139</v>
      </c>
      <c r="B140" s="2"/>
      <c r="C140" s="25">
        <v>2020</v>
      </c>
      <c r="D140" s="20">
        <f>WC!G140</f>
        <v>-52138637669696</v>
      </c>
      <c r="E140" s="20">
        <f>NCO!O140</f>
        <v>-3562198330304</v>
      </c>
      <c r="F140" s="20">
        <f>FIN!G140</f>
        <v>-84071153000000</v>
      </c>
      <c r="G140" s="20">
        <f t="shared" si="4"/>
        <v>-139771989000000</v>
      </c>
      <c r="H140" s="20">
        <f>'Average Total Assets'!F140</f>
        <v>1373790409500000</v>
      </c>
      <c r="I140" s="9">
        <f t="shared" si="5"/>
        <v>-0.10174185817097889</v>
      </c>
    </row>
    <row r="141" spans="1:9" ht="15.5" x14ac:dyDescent="0.35">
      <c r="A141" s="1">
        <v>140</v>
      </c>
      <c r="B141" s="2"/>
      <c r="C141" s="25">
        <v>2021</v>
      </c>
      <c r="D141" s="20">
        <f>WC!G141</f>
        <v>-26903500330304</v>
      </c>
      <c r="E141" s="20">
        <f>NCO!O141</f>
        <v>-2555933669696</v>
      </c>
      <c r="F141" s="20">
        <f>FIN!G141</f>
        <v>-26403628000000</v>
      </c>
      <c r="G141" s="20">
        <f t="shared" si="4"/>
        <v>-55863062000000</v>
      </c>
      <c r="H141" s="20">
        <f>'Average Total Assets'!F141</f>
        <v>1577472806000000</v>
      </c>
      <c r="I141" s="9">
        <f t="shared" si="5"/>
        <v>-3.5413011107083392E-2</v>
      </c>
    </row>
    <row r="142" spans="1:9" ht="15.5" x14ac:dyDescent="0.35">
      <c r="A142" s="1">
        <v>141</v>
      </c>
      <c r="B142" s="2" t="s">
        <v>86</v>
      </c>
      <c r="C142" s="25">
        <v>2017</v>
      </c>
      <c r="D142" s="20">
        <f>WC!G142</f>
        <v>0</v>
      </c>
      <c r="E142" s="20">
        <f>NCO!O142</f>
        <v>0</v>
      </c>
      <c r="F142" s="20">
        <f>FIN!G142</f>
        <v>0</v>
      </c>
      <c r="G142" s="20">
        <f t="shared" si="4"/>
        <v>0</v>
      </c>
      <c r="H142" s="20">
        <f>'Average Total Assets'!F142</f>
        <v>7067925334277.5</v>
      </c>
      <c r="I142" s="9">
        <f t="shared" si="5"/>
        <v>0</v>
      </c>
    </row>
    <row r="143" spans="1:9" ht="15.5" x14ac:dyDescent="0.35">
      <c r="A143" s="1">
        <v>142</v>
      </c>
      <c r="B143" s="2"/>
      <c r="C143" s="25">
        <v>2018</v>
      </c>
      <c r="D143" s="20">
        <f>WC!G143</f>
        <v>87227254387</v>
      </c>
      <c r="E143" s="20">
        <f>NCO!O143</f>
        <v>57665648483</v>
      </c>
      <c r="F143" s="20">
        <f>FIN!G143</f>
        <v>-156838811640</v>
      </c>
      <c r="G143" s="20">
        <f t="shared" si="4"/>
        <v>-11945908770</v>
      </c>
      <c r="H143" s="20">
        <f>'Average Total Assets'!F143</f>
        <v>7155975401435.5</v>
      </c>
      <c r="I143" s="9">
        <f t="shared" si="5"/>
        <v>-1.6693613518575863E-3</v>
      </c>
    </row>
    <row r="144" spans="1:9" ht="15.5" x14ac:dyDescent="0.35">
      <c r="A144" s="1">
        <v>143</v>
      </c>
      <c r="B144" s="2"/>
      <c r="C144" s="25">
        <v>2019</v>
      </c>
      <c r="D144" s="20">
        <f>WC!G144</f>
        <v>160308019075</v>
      </c>
      <c r="E144" s="20">
        <f>NCO!O144</f>
        <v>568884970</v>
      </c>
      <c r="F144" s="20">
        <f>FIN!G144</f>
        <v>-422117457981</v>
      </c>
      <c r="G144" s="20">
        <f t="shared" si="4"/>
        <v>-261240553936</v>
      </c>
      <c r="H144" s="20">
        <f>'Average Total Assets'!F144</f>
        <v>7452463591318</v>
      </c>
      <c r="I144" s="9">
        <f t="shared" si="5"/>
        <v>-3.5054254305964143E-2</v>
      </c>
    </row>
    <row r="145" spans="1:9" ht="15.5" x14ac:dyDescent="0.35">
      <c r="A145" s="1">
        <v>144</v>
      </c>
      <c r="B145" s="2"/>
      <c r="C145" s="25">
        <v>2020</v>
      </c>
      <c r="D145" s="20">
        <f>WC!G145</f>
        <v>-1183799284889</v>
      </c>
      <c r="E145" s="20">
        <f>NCO!O145</f>
        <v>29636770245</v>
      </c>
      <c r="F145" s="20">
        <f>FIN!G145</f>
        <v>1101962831080</v>
      </c>
      <c r="G145" s="20">
        <f t="shared" si="4"/>
        <v>-52199683564</v>
      </c>
      <c r="H145" s="20">
        <f>'Average Total Assets'!F145</f>
        <v>7622589020615</v>
      </c>
      <c r="I145" s="9">
        <f t="shared" si="5"/>
        <v>-6.8480254442195368E-3</v>
      </c>
    </row>
    <row r="146" spans="1:9" ht="15.5" x14ac:dyDescent="0.35">
      <c r="A146" s="1">
        <v>145</v>
      </c>
      <c r="B146" s="2"/>
      <c r="C146" s="25">
        <v>2021</v>
      </c>
      <c r="D146" s="20">
        <f>WC!G146</f>
        <v>-319395985941</v>
      </c>
      <c r="E146" s="20">
        <f>NCO!O146</f>
        <v>78017708290</v>
      </c>
      <c r="F146" s="20">
        <f>FIN!G146</f>
        <v>655769254357</v>
      </c>
      <c r="G146" s="20">
        <f t="shared" si="4"/>
        <v>414390976706</v>
      </c>
      <c r="H146" s="20">
        <f>'Average Total Assets'!F146</f>
        <v>8152025077227</v>
      </c>
      <c r="I146" s="9">
        <f t="shared" si="5"/>
        <v>5.0832887875138823E-2</v>
      </c>
    </row>
    <row r="147" spans="1:9" ht="15.5" x14ac:dyDescent="0.35">
      <c r="A147" s="1">
        <v>146</v>
      </c>
      <c r="B147" s="2" t="s">
        <v>87</v>
      </c>
      <c r="C147" s="25">
        <v>2017</v>
      </c>
      <c r="D147" s="20">
        <f>WC!G147</f>
        <v>0</v>
      </c>
      <c r="E147" s="20">
        <f>NCO!O147</f>
        <v>0</v>
      </c>
      <c r="F147" s="20">
        <f>FIN!G147</f>
        <v>0</v>
      </c>
      <c r="G147" s="20">
        <f t="shared" si="4"/>
        <v>0</v>
      </c>
      <c r="H147" s="20">
        <f>'Average Total Assets'!F147</f>
        <v>13850277046500</v>
      </c>
      <c r="I147" s="9">
        <f t="shared" si="5"/>
        <v>0</v>
      </c>
    </row>
    <row r="148" spans="1:9" ht="15.5" x14ac:dyDescent="0.35">
      <c r="A148" s="1">
        <v>147</v>
      </c>
      <c r="B148" s="2"/>
      <c r="C148" s="25">
        <v>2018</v>
      </c>
      <c r="D148" s="20">
        <f>WC!G148</f>
        <v>-1060833420502</v>
      </c>
      <c r="E148" s="20">
        <f>NCO!O148</f>
        <v>-362688175000</v>
      </c>
      <c r="F148" s="20">
        <f>FIN!G148</f>
        <v>-6795807222000</v>
      </c>
      <c r="G148" s="20">
        <f t="shared" si="4"/>
        <v>-8219328817502</v>
      </c>
      <c r="H148" s="20">
        <f>'Average Total Assets'!F148</f>
        <v>19818132312000</v>
      </c>
      <c r="I148" s="9">
        <f t="shared" si="5"/>
        <v>-0.41473781121771736</v>
      </c>
    </row>
    <row r="149" spans="1:9" ht="15.5" x14ac:dyDescent="0.35">
      <c r="A149" s="1">
        <v>148</v>
      </c>
      <c r="B149" s="2"/>
      <c r="C149" s="25">
        <v>2019</v>
      </c>
      <c r="D149" s="20">
        <f>WC!G149</f>
        <v>-417423450498</v>
      </c>
      <c r="E149" s="20">
        <f>NCO!O149</f>
        <v>3132810236502</v>
      </c>
      <c r="F149" s="20">
        <f>FIN!G149</f>
        <v>161058770000</v>
      </c>
      <c r="G149" s="20">
        <f t="shared" si="4"/>
        <v>2876445556004</v>
      </c>
      <c r="H149" s="20">
        <f>'Average Total Assets'!F149</f>
        <v>25190797082000</v>
      </c>
      <c r="I149" s="9">
        <f t="shared" si="5"/>
        <v>0.11418636522856812</v>
      </c>
    </row>
    <row r="150" spans="1:9" ht="15.5" x14ac:dyDescent="0.35">
      <c r="A150" s="1">
        <v>149</v>
      </c>
      <c r="B150" s="2"/>
      <c r="C150" s="25">
        <v>2020</v>
      </c>
      <c r="D150" s="20">
        <f>WC!G150</f>
        <v>-1098659311000</v>
      </c>
      <c r="E150" s="20">
        <f>NCO!O150</f>
        <v>-309620471000</v>
      </c>
      <c r="F150" s="20">
        <f>FIN!G150</f>
        <v>-522294535000</v>
      </c>
      <c r="G150" s="20">
        <f t="shared" si="4"/>
        <v>-1930574317000</v>
      </c>
      <c r="H150" s="20">
        <f>'Average Total Assets'!F150</f>
        <v>27541707587000</v>
      </c>
      <c r="I150" s="9">
        <f t="shared" si="5"/>
        <v>-7.0096391478328426E-2</v>
      </c>
    </row>
    <row r="151" spans="1:9" ht="15.5" x14ac:dyDescent="0.35">
      <c r="A151" s="1">
        <v>150</v>
      </c>
      <c r="B151" s="2"/>
      <c r="C151" s="25">
        <v>2021</v>
      </c>
      <c r="D151" s="20">
        <f>WC!G151</f>
        <v>254651794000</v>
      </c>
      <c r="E151" s="20">
        <f>NCO!O151</f>
        <v>-7089477000</v>
      </c>
      <c r="F151" s="20">
        <f>FIN!G151</f>
        <v>7052484100000</v>
      </c>
      <c r="G151" s="20">
        <f t="shared" si="4"/>
        <v>7300046417000</v>
      </c>
      <c r="H151" s="20">
        <f>'Average Total Assets'!F151</f>
        <v>22441007458500</v>
      </c>
      <c r="I151" s="9">
        <f t="shared" si="5"/>
        <v>0.32529940692279191</v>
      </c>
    </row>
    <row r="152" spans="1:9" ht="15.5" x14ac:dyDescent="0.35">
      <c r="A152" s="1">
        <v>151</v>
      </c>
      <c r="B152" s="2" t="s">
        <v>88</v>
      </c>
      <c r="C152" s="25">
        <v>2017</v>
      </c>
      <c r="D152" s="20">
        <f>WC!G152</f>
        <v>0</v>
      </c>
      <c r="E152" s="20">
        <f>NCO!O152</f>
        <v>0</v>
      </c>
      <c r="F152" s="20">
        <f>FIN!G152</f>
        <v>0</v>
      </c>
      <c r="G152" s="20">
        <f t="shared" si="4"/>
        <v>0</v>
      </c>
      <c r="H152" s="20">
        <f>'Average Total Assets'!F152</f>
        <v>30798352000000</v>
      </c>
      <c r="I152" s="9">
        <f t="shared" si="5"/>
        <v>0</v>
      </c>
    </row>
    <row r="153" spans="1:9" ht="15.5" x14ac:dyDescent="0.35">
      <c r="A153" s="1">
        <v>152</v>
      </c>
      <c r="B153" s="2"/>
      <c r="C153" s="25">
        <v>2018</v>
      </c>
      <c r="D153" s="20">
        <f>WC!G153</f>
        <v>-672223000000</v>
      </c>
      <c r="E153" s="20">
        <f>NCO!O153</f>
        <v>568058000000</v>
      </c>
      <c r="F153" s="20">
        <f>FIN!G153</f>
        <v>-902858000000</v>
      </c>
      <c r="G153" s="20">
        <f t="shared" si="4"/>
        <v>-1007023000000</v>
      </c>
      <c r="H153" s="20">
        <f>'Average Total Assets'!F153</f>
        <v>30576410000000</v>
      </c>
      <c r="I153" s="9">
        <f t="shared" si="5"/>
        <v>-3.2934638173677026E-2</v>
      </c>
    </row>
    <row r="154" spans="1:9" ht="15.5" x14ac:dyDescent="0.35">
      <c r="A154" s="1">
        <v>153</v>
      </c>
      <c r="B154" s="2"/>
      <c r="C154" s="25">
        <v>2019</v>
      </c>
      <c r="D154" s="20">
        <f>WC!G154</f>
        <v>-1093743000000</v>
      </c>
      <c r="E154" s="20">
        <f>NCO!O154</f>
        <v>1686054000000</v>
      </c>
      <c r="F154" s="20">
        <f>FIN!G154</f>
        <v>-531990000000</v>
      </c>
      <c r="G154" s="20">
        <f t="shared" si="4"/>
        <v>60321000000</v>
      </c>
      <c r="H154" s="20">
        <f>'Average Total Assets'!F154</f>
        <v>33654149000000</v>
      </c>
      <c r="I154" s="9">
        <f t="shared" si="5"/>
        <v>1.7923792992061691E-3</v>
      </c>
    </row>
    <row r="155" spans="1:9" ht="15.5" x14ac:dyDescent="0.35">
      <c r="A155" s="1">
        <v>154</v>
      </c>
      <c r="B155" s="2"/>
      <c r="C155" s="25">
        <v>2020</v>
      </c>
      <c r="D155" s="20">
        <f>WC!G155</f>
        <v>-6094380000000</v>
      </c>
      <c r="E155" s="20">
        <f>NCO!O155</f>
        <v>-149674000000</v>
      </c>
      <c r="F155" s="20">
        <f>FIN!G155</f>
        <v>1904428000000</v>
      </c>
      <c r="G155" s="20">
        <f t="shared" si="4"/>
        <v>-4339626000000</v>
      </c>
      <c r="H155" s="20">
        <f>'Average Total Assets'!F155</f>
        <v>40585800500000</v>
      </c>
      <c r="I155" s="9">
        <f t="shared" si="5"/>
        <v>-0.10692473590609602</v>
      </c>
    </row>
    <row r="156" spans="1:9" ht="15.5" x14ac:dyDescent="0.35">
      <c r="A156" s="1">
        <v>155</v>
      </c>
      <c r="B156" s="2"/>
      <c r="C156" s="25">
        <v>2021</v>
      </c>
      <c r="D156" s="20">
        <f>WC!G156</f>
        <v>-433693000000</v>
      </c>
      <c r="E156" s="20">
        <f>NCO!O156</f>
        <v>-572488900000</v>
      </c>
      <c r="F156" s="20">
        <f>FIN!G156</f>
        <v>-3755619000000</v>
      </c>
      <c r="G156" s="20">
        <f t="shared" si="4"/>
        <v>-4761800900000</v>
      </c>
      <c r="H156" s="20">
        <f>'Average Total Assets'!F156</f>
        <v>48439621550000</v>
      </c>
      <c r="I156" s="9">
        <f t="shared" si="5"/>
        <v>-9.8303841929995431E-2</v>
      </c>
    </row>
    <row r="157" spans="1:9" ht="15.5" x14ac:dyDescent="0.35">
      <c r="A157" s="1">
        <v>156</v>
      </c>
      <c r="B157" s="2" t="s">
        <v>89</v>
      </c>
      <c r="C157" s="25">
        <v>2017</v>
      </c>
      <c r="D157" s="20">
        <f>WC!G157</f>
        <v>0</v>
      </c>
      <c r="E157" s="20">
        <f>NCO!O157</f>
        <v>0</v>
      </c>
      <c r="F157" s="20">
        <f>FIN!G157</f>
        <v>0</v>
      </c>
      <c r="G157" s="20">
        <f t="shared" si="4"/>
        <v>0</v>
      </c>
      <c r="H157" s="20">
        <f>'Average Total Assets'!F157</f>
        <v>26973473000000</v>
      </c>
      <c r="I157" s="9">
        <f t="shared" si="5"/>
        <v>0</v>
      </c>
    </row>
    <row r="158" spans="1:9" ht="15.5" x14ac:dyDescent="0.35">
      <c r="A158" s="1">
        <v>157</v>
      </c>
      <c r="B158" s="2"/>
      <c r="C158" s="25">
        <v>2018</v>
      </c>
      <c r="D158" s="20">
        <f>WC!G158</f>
        <v>83372000000</v>
      </c>
      <c r="E158" s="20">
        <f>NCO!O158</f>
        <v>294293000000</v>
      </c>
      <c r="F158" s="20">
        <f>FIN!G158</f>
        <v>1371722000000</v>
      </c>
      <c r="G158" s="20">
        <f t="shared" si="4"/>
        <v>1749387000000</v>
      </c>
      <c r="H158" s="20">
        <f>'Average Total Assets'!F158</f>
        <v>26876098000000</v>
      </c>
      <c r="I158" s="9">
        <f t="shared" si="5"/>
        <v>6.5090810429400875E-2</v>
      </c>
    </row>
    <row r="159" spans="1:9" ht="15.5" x14ac:dyDescent="0.35">
      <c r="A159" s="1">
        <v>158</v>
      </c>
      <c r="B159" s="2"/>
      <c r="C159" s="25">
        <v>2019</v>
      </c>
      <c r="D159" s="20">
        <f>WC!G159</f>
        <v>-1651965000000</v>
      </c>
      <c r="E159" s="20">
        <f>NCO!O159</f>
        <v>556383000000</v>
      </c>
      <c r="F159" s="20">
        <f>FIN!G159</f>
        <v>1400073000000</v>
      </c>
      <c r="G159" s="20">
        <f t="shared" si="4"/>
        <v>304491000000</v>
      </c>
      <c r="H159" s="20">
        <f>'Average Total Assets'!F159</f>
        <v>25778614500000</v>
      </c>
      <c r="I159" s="9">
        <f t="shared" si="5"/>
        <v>1.1811767463297922E-2</v>
      </c>
    </row>
    <row r="160" spans="1:9" ht="15.5" x14ac:dyDescent="0.35">
      <c r="A160" s="1">
        <v>159</v>
      </c>
      <c r="B160" s="2"/>
      <c r="C160" s="25">
        <v>2020</v>
      </c>
      <c r="D160" s="20">
        <f>WC!G160</f>
        <v>-7521510000000</v>
      </c>
      <c r="E160" s="20">
        <f>NCO!O160</f>
        <v>488294000000</v>
      </c>
      <c r="F160" s="20">
        <f>FIN!G160</f>
        <v>297362000000</v>
      </c>
      <c r="G160" s="20">
        <f t="shared" si="4"/>
        <v>-6735854000000</v>
      </c>
      <c r="H160" s="20">
        <f>'Average Total Assets'!F160</f>
        <v>28029503000000</v>
      </c>
      <c r="I160" s="9">
        <f t="shared" si="5"/>
        <v>-0.24031300162546584</v>
      </c>
    </row>
    <row r="161" spans="1:9" ht="15.5" x14ac:dyDescent="0.35">
      <c r="A161" s="1">
        <v>160</v>
      </c>
      <c r="B161" s="2"/>
      <c r="C161" s="25">
        <v>2021</v>
      </c>
      <c r="D161" s="20">
        <f>WC!G161</f>
        <v>5303306000000</v>
      </c>
      <c r="E161" s="20">
        <f>NCO!O161</f>
        <v>-716196000000</v>
      </c>
      <c r="F161" s="20">
        <f>FIN!G161</f>
        <v>601487000000</v>
      </c>
      <c r="G161" s="20">
        <f t="shared" si="4"/>
        <v>5188597000000</v>
      </c>
      <c r="H161" s="20">
        <f>'Average Total Assets'!F161</f>
        <v>28327392500000</v>
      </c>
      <c r="I161" s="9">
        <f t="shared" si="5"/>
        <v>0.1831653584070613</v>
      </c>
    </row>
    <row r="162" spans="1:9" ht="15.5" x14ac:dyDescent="0.35">
      <c r="A162" s="1">
        <v>166</v>
      </c>
      <c r="B162" s="2" t="s">
        <v>90</v>
      </c>
      <c r="C162" s="25">
        <v>2017</v>
      </c>
      <c r="D162" s="20">
        <f>WC!G162</f>
        <v>0</v>
      </c>
      <c r="E162" s="20">
        <f>NCO!O162</f>
        <v>0</v>
      </c>
      <c r="F162" s="20">
        <f>FIN!G162</f>
        <v>0</v>
      </c>
      <c r="G162" s="20">
        <f t="shared" si="4"/>
        <v>0</v>
      </c>
      <c r="H162" s="20">
        <f>'Average Total Assets'!F162</f>
        <v>76414346000000</v>
      </c>
      <c r="I162" s="9">
        <f t="shared" si="5"/>
        <v>0</v>
      </c>
    </row>
    <row r="163" spans="1:9" ht="15.5" x14ac:dyDescent="0.35">
      <c r="A163" s="1">
        <v>167</v>
      </c>
      <c r="B163" s="2"/>
      <c r="C163" s="25">
        <v>2018</v>
      </c>
      <c r="D163" s="20">
        <f>WC!G163</f>
        <v>2101927000000</v>
      </c>
      <c r="E163" s="20">
        <f>NCO!O163</f>
        <v>-275415000000</v>
      </c>
      <c r="F163" s="20">
        <f>FIN!G163</f>
        <v>-2016219000000</v>
      </c>
      <c r="G163" s="20">
        <f t="shared" si="4"/>
        <v>-189707000000</v>
      </c>
      <c r="H163" s="20">
        <f>'Average Total Assets'!F163</f>
        <v>83029478000000</v>
      </c>
      <c r="I163" s="9">
        <f t="shared" si="5"/>
        <v>-2.284815038822718E-3</v>
      </c>
    </row>
    <row r="164" spans="1:9" ht="15.5" x14ac:dyDescent="0.35">
      <c r="A164" s="1">
        <v>168</v>
      </c>
      <c r="B164" s="2"/>
      <c r="C164" s="25">
        <v>2019</v>
      </c>
      <c r="D164" s="20">
        <f>WC!G164</f>
        <v>1231205000000</v>
      </c>
      <c r="E164" s="20">
        <f>NCO!O164</f>
        <v>216135000000</v>
      </c>
      <c r="F164" s="20">
        <f>FIN!G164</f>
        <v>-14998795000000</v>
      </c>
      <c r="G164" s="20">
        <f t="shared" si="4"/>
        <v>-13551455000000</v>
      </c>
      <c r="H164" s="20">
        <f>'Average Total Assets'!F164</f>
        <v>92282888500000</v>
      </c>
      <c r="I164" s="9">
        <f t="shared" si="5"/>
        <v>-0.14684688808803378</v>
      </c>
    </row>
    <row r="165" spans="1:9" ht="15.5" x14ac:dyDescent="0.35">
      <c r="A165" s="1">
        <v>169</v>
      </c>
      <c r="B165" s="2"/>
      <c r="C165" s="25">
        <v>2020</v>
      </c>
      <c r="D165" s="20">
        <f>WC!G165</f>
        <v>-5245767000000</v>
      </c>
      <c r="E165" s="20">
        <f>NCO!O165</f>
        <v>-13201627000000</v>
      </c>
      <c r="F165" s="20">
        <f>FIN!G165</f>
        <v>12559420000000</v>
      </c>
      <c r="G165" s="20">
        <f t="shared" si="4"/>
        <v>-5887974000000</v>
      </c>
      <c r="H165" s="20">
        <f>'Average Total Assets'!F165</f>
        <v>106503242000000</v>
      </c>
      <c r="I165" s="9">
        <f t="shared" si="5"/>
        <v>-5.5284457913497134E-2</v>
      </c>
    </row>
    <row r="166" spans="1:9" ht="15.5" x14ac:dyDescent="0.35">
      <c r="A166" s="1">
        <v>170</v>
      </c>
      <c r="B166" s="2"/>
      <c r="C166" s="25">
        <v>2021</v>
      </c>
      <c r="D166" s="20">
        <f>WC!G166</f>
        <v>-5739953000000</v>
      </c>
      <c r="E166" s="20">
        <f>NCO!O166</f>
        <v>7415533000000</v>
      </c>
      <c r="F166" s="20">
        <f>FIN!G166</f>
        <v>-20651709000000</v>
      </c>
      <c r="G166" s="20">
        <f t="shared" si="4"/>
        <v>-18976129000000</v>
      </c>
      <c r="H166" s="20">
        <f>'Average Total Assets'!F166</f>
        <v>122541021500000</v>
      </c>
      <c r="I166" s="9">
        <f t="shared" si="5"/>
        <v>-0.15485531920427154</v>
      </c>
    </row>
    <row r="167" spans="1:9" ht="15.5" x14ac:dyDescent="0.35">
      <c r="A167" s="1">
        <v>171</v>
      </c>
      <c r="B167" s="2" t="s">
        <v>91</v>
      </c>
      <c r="C167" s="25">
        <v>2017</v>
      </c>
      <c r="D167" s="20">
        <f>WC!G167</f>
        <v>0</v>
      </c>
      <c r="E167" s="20">
        <f>NCO!O167</f>
        <v>0</v>
      </c>
      <c r="F167" s="20">
        <f>FIN!G167</f>
        <v>0</v>
      </c>
      <c r="G167" s="20">
        <f t="shared" si="4"/>
        <v>0</v>
      </c>
      <c r="H167" s="20">
        <f>'Average Total Assets'!F167</f>
        <v>2302286580000</v>
      </c>
      <c r="I167" s="9">
        <f t="shared" si="5"/>
        <v>0</v>
      </c>
    </row>
    <row r="168" spans="1:9" ht="15.5" x14ac:dyDescent="0.35">
      <c r="A168" s="1">
        <v>172</v>
      </c>
      <c r="B168" s="2"/>
      <c r="C168" s="25">
        <v>2018</v>
      </c>
      <c r="D168" s="20">
        <f>WC!G168</f>
        <v>64408092000</v>
      </c>
      <c r="E168" s="20">
        <f>NCO!O168</f>
        <v>-305798231000</v>
      </c>
      <c r="F168" s="20">
        <f>FIN!G168</f>
        <v>725213306000</v>
      </c>
      <c r="G168" s="20">
        <f t="shared" si="4"/>
        <v>483823167000</v>
      </c>
      <c r="H168" s="20">
        <f>'Average Total Assets'!F168</f>
        <v>2751476020000</v>
      </c>
      <c r="I168" s="9">
        <f t="shared" si="5"/>
        <v>0.17584131698156685</v>
      </c>
    </row>
    <row r="169" spans="1:9" ht="15.5" x14ac:dyDescent="0.35">
      <c r="A169" s="1">
        <v>173</v>
      </c>
      <c r="B169" s="2"/>
      <c r="C169" s="25">
        <v>2019</v>
      </c>
      <c r="D169" s="20">
        <f>WC!G169</f>
        <v>5013659000</v>
      </c>
      <c r="E169" s="20">
        <f>NCO!O169</f>
        <v>281485706000</v>
      </c>
      <c r="F169" s="20">
        <f>FIN!G169</f>
        <v>-158230690000</v>
      </c>
      <c r="G169" s="20">
        <f t="shared" si="4"/>
        <v>128268675000</v>
      </c>
      <c r="H169" s="20">
        <f>'Average Total Assets'!F169</f>
        <v>2759583114000</v>
      </c>
      <c r="I169" s="9">
        <f t="shared" si="5"/>
        <v>4.6481178388599172E-2</v>
      </c>
    </row>
    <row r="170" spans="1:9" ht="15.5" x14ac:dyDescent="0.35">
      <c r="A170" s="1">
        <v>174</v>
      </c>
      <c r="B170" s="2"/>
      <c r="C170" s="25">
        <v>2020</v>
      </c>
      <c r="D170" s="20">
        <f>WC!G170</f>
        <v>15108498000</v>
      </c>
      <c r="E170" s="20">
        <f>NCO!O170</f>
        <v>-232512108000</v>
      </c>
      <c r="F170" s="20">
        <f>FIN!G170</f>
        <v>268576064000</v>
      </c>
      <c r="G170" s="20">
        <f t="shared" si="4"/>
        <v>51172454000</v>
      </c>
      <c r="H170" s="20">
        <f>'Average Total Assets'!F170</f>
        <v>2863472596500</v>
      </c>
      <c r="I170" s="9">
        <f t="shared" si="5"/>
        <v>1.7870767844102187E-2</v>
      </c>
    </row>
    <row r="171" spans="1:9" ht="15.5" x14ac:dyDescent="0.35">
      <c r="A171" s="1">
        <v>175</v>
      </c>
      <c r="B171" s="2"/>
      <c r="C171" s="25">
        <v>2021</v>
      </c>
      <c r="D171" s="20">
        <f>WC!G171</f>
        <v>-113989125000</v>
      </c>
      <c r="E171" s="20">
        <f>NCO!O171</f>
        <v>22430983000</v>
      </c>
      <c r="F171" s="20">
        <f>FIN!G171</f>
        <v>928206304000</v>
      </c>
      <c r="G171" s="20">
        <f t="shared" si="4"/>
        <v>836648162000</v>
      </c>
      <c r="H171" s="20">
        <f>'Average Total Assets'!F171</f>
        <v>2248115216500</v>
      </c>
      <c r="I171" s="9">
        <f t="shared" si="5"/>
        <v>0.37215537524920267</v>
      </c>
    </row>
    <row r="172" spans="1:9" ht="15.5" x14ac:dyDescent="0.35">
      <c r="A172" s="1">
        <v>176</v>
      </c>
      <c r="B172" s="2" t="s">
        <v>92</v>
      </c>
      <c r="C172" s="25">
        <v>2017</v>
      </c>
      <c r="D172" s="20">
        <f>WC!G172</f>
        <v>0</v>
      </c>
      <c r="E172" s="20">
        <f>NCO!O172</f>
        <v>0</v>
      </c>
      <c r="F172" s="20">
        <f>FIN!G172</f>
        <v>0</v>
      </c>
      <c r="G172" s="20">
        <f t="shared" si="4"/>
        <v>0</v>
      </c>
      <c r="H172" s="20">
        <f>'Average Total Assets'!F172</f>
        <v>145985149000000</v>
      </c>
      <c r="I172" s="9">
        <f t="shared" si="5"/>
        <v>0</v>
      </c>
    </row>
    <row r="173" spans="1:9" x14ac:dyDescent="0.35">
      <c r="A173" s="1">
        <v>177</v>
      </c>
      <c r="B173" s="9"/>
      <c r="C173" s="25">
        <v>2018</v>
      </c>
      <c r="D173" s="20">
        <f>WC!G173</f>
        <v>5118455000000</v>
      </c>
      <c r="E173" s="20">
        <f>NCO!O173</f>
        <v>-5732011000000</v>
      </c>
      <c r="F173" s="20">
        <f>FIN!G173</f>
        <v>-11779571000000</v>
      </c>
      <c r="G173" s="20">
        <f t="shared" si="4"/>
        <v>-12393127000000</v>
      </c>
      <c r="H173" s="20">
        <f>'Average Total Assets'!F173</f>
        <v>163678425500000</v>
      </c>
      <c r="I173" s="9">
        <f t="shared" si="5"/>
        <v>-7.5716313632305798E-2</v>
      </c>
    </row>
    <row r="174" spans="1:9" x14ac:dyDescent="0.35">
      <c r="A174" s="1">
        <v>178</v>
      </c>
      <c r="B174" s="9"/>
      <c r="C174" s="25">
        <v>2019</v>
      </c>
      <c r="D174" s="20">
        <f>WC!G174</f>
        <v>-328462000000</v>
      </c>
      <c r="E174" s="20">
        <f>NCO!O174</f>
        <v>2808113000000</v>
      </c>
      <c r="F174" s="20">
        <f>FIN!G174</f>
        <v>-3143532000000</v>
      </c>
      <c r="G174" s="20">
        <f t="shared" si="4"/>
        <v>-663881000000</v>
      </c>
      <c r="H174" s="20">
        <f>'Average Total Assets'!F174</f>
        <v>177144940500000</v>
      </c>
      <c r="I174" s="9">
        <f t="shared" si="5"/>
        <v>-3.7476712466422376E-3</v>
      </c>
    </row>
    <row r="175" spans="1:9" x14ac:dyDescent="0.35">
      <c r="A175" s="1">
        <v>179</v>
      </c>
      <c r="B175" s="9"/>
      <c r="C175" s="25">
        <v>2020</v>
      </c>
      <c r="D175" s="20">
        <f>WC!G175</f>
        <v>-45314810000000</v>
      </c>
      <c r="E175" s="20">
        <f>NCO!O175</f>
        <v>9487958000000</v>
      </c>
      <c r="F175" s="20">
        <f>FIN!G175</f>
        <v>17009211000000</v>
      </c>
      <c r="G175" s="20">
        <f t="shared" si="4"/>
        <v>-18817641000000</v>
      </c>
      <c r="H175" s="20">
        <f>'Average Total Assets'!F175</f>
        <v>193502093500000</v>
      </c>
      <c r="I175" s="9">
        <f t="shared" si="5"/>
        <v>-9.7247738562580455E-2</v>
      </c>
    </row>
    <row r="176" spans="1:9" x14ac:dyDescent="0.35">
      <c r="A176" s="1">
        <v>180</v>
      </c>
      <c r="B176" s="9"/>
      <c r="C176" s="25">
        <v>2021</v>
      </c>
      <c r="D176" s="20">
        <f>WC!G176</f>
        <v>-2856015000000</v>
      </c>
      <c r="E176" s="20">
        <f>NCO!O176</f>
        <v>2099546000000</v>
      </c>
      <c r="F176" s="20">
        <f>FIN!G176</f>
        <v>-2225198000000</v>
      </c>
      <c r="G176" s="20">
        <f t="shared" si="4"/>
        <v>-2981667000000</v>
      </c>
      <c r="H176" s="20">
        <f>'Average Total Assets'!F176</f>
        <v>210346404000000</v>
      </c>
      <c r="I176" s="9">
        <f t="shared" si="5"/>
        <v>-1.4175031962989963E-2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2D80-47E5-4E86-9B9E-259D5336D7D5}">
  <dimension ref="A1:J176"/>
  <sheetViews>
    <sheetView zoomScale="7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3" sqref="D3"/>
    </sheetView>
  </sheetViews>
  <sheetFormatPr defaultRowHeight="14.5" x14ac:dyDescent="0.35"/>
  <cols>
    <col min="2" max="2" width="11.26953125" bestFit="1" customWidth="1"/>
    <col min="4" max="4" width="12.453125" bestFit="1" customWidth="1"/>
    <col min="5" max="5" width="17.453125" bestFit="1" customWidth="1"/>
    <col min="6" max="6" width="9.26953125" style="23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61</v>
      </c>
      <c r="E1" s="1" t="s">
        <v>62</v>
      </c>
      <c r="F1" s="21" t="s">
        <v>113</v>
      </c>
      <c r="G1" s="1" t="s">
        <v>63</v>
      </c>
    </row>
    <row r="2" spans="1:7" x14ac:dyDescent="0.35">
      <c r="A2" s="1">
        <v>1</v>
      </c>
      <c r="B2" s="64" t="s">
        <v>3</v>
      </c>
      <c r="C2" s="1">
        <v>2017</v>
      </c>
      <c r="D2" s="9">
        <f>'RRST ACCRUAL'!I2</f>
        <v>0</v>
      </c>
      <c r="E2" s="9">
        <v>0</v>
      </c>
      <c r="F2" s="22">
        <v>0</v>
      </c>
      <c r="G2" s="9">
        <f>IF(F2&gt;1,1,0)</f>
        <v>0</v>
      </c>
    </row>
    <row r="3" spans="1:7" ht="14.5" customHeight="1" x14ac:dyDescent="0.35">
      <c r="A3" s="1">
        <v>2</v>
      </c>
      <c r="B3" s="65"/>
      <c r="C3" s="1">
        <v>2018</v>
      </c>
      <c r="D3" s="9">
        <f>'RRST ACCRUAL'!I3</f>
        <v>-4.2523922822621255E-2</v>
      </c>
      <c r="E3" s="9">
        <f>'Financial Performance'!G3</f>
        <v>-0.15587900694319828</v>
      </c>
      <c r="F3" s="22">
        <f t="shared" ref="F3:F66" si="0">D3+E3</f>
        <v>-0.19840292976581952</v>
      </c>
      <c r="G3" s="9">
        <f t="shared" ref="G3:G66" si="1">IF(F3&gt;1,1,0)</f>
        <v>0</v>
      </c>
    </row>
    <row r="4" spans="1:7" ht="14.5" customHeight="1" x14ac:dyDescent="0.35">
      <c r="A4" s="1">
        <v>3</v>
      </c>
      <c r="B4" s="65"/>
      <c r="C4" s="1">
        <v>2019</v>
      </c>
      <c r="D4" s="9">
        <f>'RRST ACCRUAL'!I4</f>
        <v>2.0078207848334858E-4</v>
      </c>
      <c r="E4" s="9">
        <f>'Financial Performance'!G4</f>
        <v>-2.2013159801838402E-2</v>
      </c>
      <c r="F4" s="22">
        <f t="shared" si="0"/>
        <v>-2.1812377723355054E-2</v>
      </c>
      <c r="G4" s="9">
        <f t="shared" si="1"/>
        <v>0</v>
      </c>
    </row>
    <row r="5" spans="1:7" ht="14.5" customHeight="1" x14ac:dyDescent="0.35">
      <c r="A5" s="1">
        <v>4</v>
      </c>
      <c r="B5" s="65"/>
      <c r="C5" s="1">
        <v>2020</v>
      </c>
      <c r="D5" s="9">
        <f>'RRST ACCRUAL'!I5</f>
        <v>0.22166189759425434</v>
      </c>
      <c r="E5" s="9">
        <f>'Financial Performance'!G5</f>
        <v>-0.46905724016903722</v>
      </c>
      <c r="F5" s="22">
        <f t="shared" si="0"/>
        <v>-0.24739534257478288</v>
      </c>
      <c r="G5" s="9">
        <f t="shared" si="1"/>
        <v>0</v>
      </c>
    </row>
    <row r="6" spans="1:7" ht="14.5" customHeight="1" x14ac:dyDescent="0.35">
      <c r="A6" s="1">
        <v>5</v>
      </c>
      <c r="B6" s="66"/>
      <c r="C6" s="1">
        <v>2021</v>
      </c>
      <c r="D6" s="9">
        <f>'RRST ACCRUAL'!I6</f>
        <v>0.10323223396368036</v>
      </c>
      <c r="E6" s="9">
        <f>'Financial Performance'!G6</f>
        <v>-6.4808265561207806E-2</v>
      </c>
      <c r="F6" s="22">
        <f t="shared" si="0"/>
        <v>3.8423968402472558E-2</v>
      </c>
      <c r="G6" s="9">
        <f t="shared" si="1"/>
        <v>0</v>
      </c>
    </row>
    <row r="7" spans="1:7" ht="15.5" customHeight="1" x14ac:dyDescent="0.35">
      <c r="A7" s="1">
        <v>6</v>
      </c>
      <c r="B7" s="67" t="s">
        <v>4</v>
      </c>
      <c r="C7" s="1">
        <v>2017</v>
      </c>
      <c r="D7" s="9">
        <f>'RRST ACCRUAL'!I7</f>
        <v>0</v>
      </c>
      <c r="E7" s="9" t="e">
        <f>'Financial Performance'!G7</f>
        <v>#DIV/0!</v>
      </c>
      <c r="F7" s="22" t="e">
        <f t="shared" si="0"/>
        <v>#DIV/0!</v>
      </c>
      <c r="G7" s="9" t="e">
        <f t="shared" si="1"/>
        <v>#DIV/0!</v>
      </c>
    </row>
    <row r="8" spans="1:7" x14ac:dyDescent="0.35">
      <c r="A8" s="1">
        <v>7</v>
      </c>
      <c r="B8" s="68"/>
      <c r="C8" s="1">
        <v>2018</v>
      </c>
      <c r="D8" s="9">
        <f>'RRST ACCRUAL'!I8</f>
        <v>1.4352267842882517E-2</v>
      </c>
      <c r="E8" s="9">
        <f>'Financial Performance'!G8</f>
        <v>-7.0803130577696771E-2</v>
      </c>
      <c r="F8" s="22">
        <f t="shared" si="0"/>
        <v>-5.6450862734814256E-2</v>
      </c>
      <c r="G8" s="9">
        <f t="shared" si="1"/>
        <v>0</v>
      </c>
    </row>
    <row r="9" spans="1:7" x14ac:dyDescent="0.35">
      <c r="A9" s="1">
        <v>8</v>
      </c>
      <c r="B9" s="68"/>
      <c r="C9" s="1">
        <v>2019</v>
      </c>
      <c r="D9" s="9">
        <f>'RRST ACCRUAL'!I9</f>
        <v>3.7855278393713776E-2</v>
      </c>
      <c r="E9" s="9">
        <f>'Financial Performance'!G9</f>
        <v>4.6815459520275264E-2</v>
      </c>
      <c r="F9" s="22">
        <f t="shared" si="0"/>
        <v>8.4670737913989047E-2</v>
      </c>
      <c r="G9" s="9">
        <f t="shared" si="1"/>
        <v>0</v>
      </c>
    </row>
    <row r="10" spans="1:7" x14ac:dyDescent="0.35">
      <c r="A10" s="1">
        <v>9</v>
      </c>
      <c r="B10" s="68"/>
      <c r="C10" s="1">
        <v>2020</v>
      </c>
      <c r="D10" s="9">
        <f>'RRST ACCRUAL'!I10</f>
        <v>-0.19964345785068005</v>
      </c>
      <c r="E10" s="9">
        <f>'Financial Performance'!G10</f>
        <v>-0.48899911275018593</v>
      </c>
      <c r="F10" s="22">
        <f t="shared" si="0"/>
        <v>-0.68864257060086598</v>
      </c>
      <c r="G10" s="9">
        <f t="shared" si="1"/>
        <v>0</v>
      </c>
    </row>
    <row r="11" spans="1:7" x14ac:dyDescent="0.35">
      <c r="A11" s="1">
        <v>10</v>
      </c>
      <c r="B11" s="69"/>
      <c r="C11" s="1">
        <v>2021</v>
      </c>
      <c r="D11" s="9">
        <f>'RRST ACCRUAL'!I11</f>
        <v>7.8080829979744124E-3</v>
      </c>
      <c r="E11" s="9">
        <f>'Financial Performance'!G11</f>
        <v>1.6970306842344576</v>
      </c>
      <c r="F11" s="22">
        <f t="shared" si="0"/>
        <v>1.7048387672324319</v>
      </c>
      <c r="G11" s="9">
        <f t="shared" si="1"/>
        <v>1</v>
      </c>
    </row>
    <row r="12" spans="1:7" x14ac:dyDescent="0.35">
      <c r="A12" s="1">
        <v>11</v>
      </c>
      <c r="B12" s="64" t="s">
        <v>5</v>
      </c>
      <c r="C12" s="1">
        <v>2017</v>
      </c>
      <c r="D12" s="9">
        <f>'RRST ACCRUAL'!I12</f>
        <v>0</v>
      </c>
      <c r="E12" s="9" t="e">
        <f>'Financial Performance'!G12</f>
        <v>#DIV/0!</v>
      </c>
      <c r="F12" s="22" t="e">
        <f t="shared" si="0"/>
        <v>#DIV/0!</v>
      </c>
      <c r="G12" s="9" t="e">
        <f t="shared" si="1"/>
        <v>#DIV/0!</v>
      </c>
    </row>
    <row r="13" spans="1:7" x14ac:dyDescent="0.35">
      <c r="A13" s="1">
        <v>12</v>
      </c>
      <c r="B13" s="65"/>
      <c r="C13" s="1">
        <v>2018</v>
      </c>
      <c r="D13" s="9">
        <f>'RRST ACCRUAL'!I13</f>
        <v>-6.3889825516052143E-2</v>
      </c>
      <c r="E13" s="9">
        <f>'Financial Performance'!G13</f>
        <v>4.9840632784706587E-2</v>
      </c>
      <c r="F13" s="22">
        <f t="shared" si="0"/>
        <v>-1.4049192731345556E-2</v>
      </c>
      <c r="G13" s="9">
        <f t="shared" si="1"/>
        <v>0</v>
      </c>
    </row>
    <row r="14" spans="1:7" x14ac:dyDescent="0.35">
      <c r="A14" s="1">
        <v>13</v>
      </c>
      <c r="B14" s="65"/>
      <c r="C14" s="1">
        <v>2019</v>
      </c>
      <c r="D14" s="9">
        <f>'RRST ACCRUAL'!I14</f>
        <v>-1.4357328662981665E-2</v>
      </c>
      <c r="E14" s="9">
        <f>'Financial Performance'!G14</f>
        <v>4.9499758913432307E-2</v>
      </c>
      <c r="F14" s="22">
        <f t="shared" si="0"/>
        <v>3.5142430250450642E-2</v>
      </c>
      <c r="G14" s="9">
        <f t="shared" si="1"/>
        <v>0</v>
      </c>
    </row>
    <row r="15" spans="1:7" x14ac:dyDescent="0.35">
      <c r="A15" s="1">
        <v>14</v>
      </c>
      <c r="B15" s="65"/>
      <c r="C15" s="1">
        <v>2020</v>
      </c>
      <c r="D15" s="9">
        <f>'RRST ACCRUAL'!I15</f>
        <v>-9.5193022992602197E-2</v>
      </c>
      <c r="E15" s="9">
        <f>'Financial Performance'!G15</f>
        <v>-4.1687937838125938E-2</v>
      </c>
      <c r="F15" s="22">
        <f t="shared" si="0"/>
        <v>-0.13688096083072815</v>
      </c>
      <c r="G15" s="9">
        <f t="shared" si="1"/>
        <v>0</v>
      </c>
    </row>
    <row r="16" spans="1:7" x14ac:dyDescent="0.35">
      <c r="A16" s="1">
        <v>15</v>
      </c>
      <c r="B16" s="66"/>
      <c r="C16" s="1">
        <v>2021</v>
      </c>
      <c r="D16" s="9">
        <f>'RRST ACCRUAL'!I16</f>
        <v>-0.11604986944774349</v>
      </c>
      <c r="E16" s="9">
        <f>'Financial Performance'!G16</f>
        <v>-6.1772393651475816E-3</v>
      </c>
      <c r="F16" s="22">
        <f t="shared" si="0"/>
        <v>-0.12222710881289107</v>
      </c>
      <c r="G16" s="9">
        <f t="shared" si="1"/>
        <v>0</v>
      </c>
    </row>
    <row r="17" spans="1:7" x14ac:dyDescent="0.35">
      <c r="A17" s="1">
        <v>16</v>
      </c>
      <c r="B17" s="64" t="s">
        <v>6</v>
      </c>
      <c r="C17" s="1">
        <v>2017</v>
      </c>
      <c r="D17" s="9">
        <f>'RRST ACCRUAL'!I17</f>
        <v>0</v>
      </c>
      <c r="E17" s="9" t="e">
        <f>'Financial Performance'!G17</f>
        <v>#DIV/0!</v>
      </c>
      <c r="F17" s="22" t="e">
        <f t="shared" si="0"/>
        <v>#DIV/0!</v>
      </c>
      <c r="G17" s="9" t="e">
        <f t="shared" si="1"/>
        <v>#DIV/0!</v>
      </c>
    </row>
    <row r="18" spans="1:7" x14ac:dyDescent="0.35">
      <c r="A18" s="1">
        <v>17</v>
      </c>
      <c r="B18" s="65"/>
      <c r="C18" s="1">
        <v>2018</v>
      </c>
      <c r="D18" s="9">
        <f>'RRST ACCRUAL'!I18</f>
        <v>8.3456284026715462E-3</v>
      </c>
      <c r="E18" s="9">
        <f>'Financial Performance'!G18</f>
        <v>-1.248494818888159E-2</v>
      </c>
      <c r="F18" s="22">
        <f t="shared" si="0"/>
        <v>-4.1393197862100439E-3</v>
      </c>
      <c r="G18" s="9">
        <f t="shared" si="1"/>
        <v>0</v>
      </c>
    </row>
    <row r="19" spans="1:7" x14ac:dyDescent="0.35">
      <c r="A19" s="1">
        <v>18</v>
      </c>
      <c r="B19" s="65"/>
      <c r="C19" s="1">
        <v>2019</v>
      </c>
      <c r="D19" s="9">
        <f>'RRST ACCRUAL'!I19</f>
        <v>9.4246122172431373E-3</v>
      </c>
      <c r="E19" s="9">
        <f>'Financial Performance'!G19</f>
        <v>8.4851479084757042E-2</v>
      </c>
      <c r="F19" s="22">
        <f t="shared" si="0"/>
        <v>9.4276091302000181E-2</v>
      </c>
      <c r="G19" s="9">
        <f t="shared" si="1"/>
        <v>0</v>
      </c>
    </row>
    <row r="20" spans="1:7" x14ac:dyDescent="0.35">
      <c r="A20" s="1">
        <v>19</v>
      </c>
      <c r="B20" s="65"/>
      <c r="C20" s="1">
        <v>2020</v>
      </c>
      <c r="D20" s="9">
        <f>'RRST ACCRUAL'!I20</f>
        <v>-4.3197461892603727E-2</v>
      </c>
      <c r="E20" s="9">
        <f>'Financial Performance'!G20</f>
        <v>6.933316356910451E-4</v>
      </c>
      <c r="F20" s="22">
        <f t="shared" si="0"/>
        <v>-4.250413025691268E-2</v>
      </c>
      <c r="G20" s="9">
        <f t="shared" si="1"/>
        <v>0</v>
      </c>
    </row>
    <row r="21" spans="1:7" x14ac:dyDescent="0.35">
      <c r="A21" s="1">
        <v>20</v>
      </c>
      <c r="B21" s="66"/>
      <c r="C21" s="1">
        <v>2021</v>
      </c>
      <c r="D21" s="9">
        <f>'RRST ACCRUAL'!I21</f>
        <v>-1.7661523957525991E-2</v>
      </c>
      <c r="E21" s="9">
        <f>'Financial Performance'!G21</f>
        <v>9.6637217795384573E-4</v>
      </c>
      <c r="F21" s="22">
        <f t="shared" si="0"/>
        <v>-1.6695151779572145E-2</v>
      </c>
      <c r="G21" s="9">
        <f t="shared" si="1"/>
        <v>0</v>
      </c>
    </row>
    <row r="22" spans="1:7" x14ac:dyDescent="0.35">
      <c r="A22" s="1">
        <v>21</v>
      </c>
      <c r="B22" s="64" t="s">
        <v>7</v>
      </c>
      <c r="C22" s="1">
        <v>2017</v>
      </c>
      <c r="D22" s="9">
        <f>'RRST ACCRUAL'!I22</f>
        <v>0</v>
      </c>
      <c r="E22" s="9" t="e">
        <f>'Financial Performance'!G22</f>
        <v>#DIV/0!</v>
      </c>
      <c r="F22" s="22" t="e">
        <f t="shared" si="0"/>
        <v>#DIV/0!</v>
      </c>
      <c r="G22" s="9" t="e">
        <f t="shared" si="1"/>
        <v>#DIV/0!</v>
      </c>
    </row>
    <row r="23" spans="1:7" x14ac:dyDescent="0.35">
      <c r="A23" s="1">
        <v>22</v>
      </c>
      <c r="B23" s="65"/>
      <c r="C23" s="1">
        <v>2018</v>
      </c>
      <c r="D23" s="9">
        <f>'RRST ACCRUAL'!I23</f>
        <v>2.5259026247667061E-2</v>
      </c>
      <c r="E23" s="9">
        <f>'Financial Performance'!G23</f>
        <v>0.5241452897943496</v>
      </c>
      <c r="F23" s="22">
        <f t="shared" si="0"/>
        <v>0.54940431604201667</v>
      </c>
      <c r="G23" s="9">
        <f t="shared" si="1"/>
        <v>0</v>
      </c>
    </row>
    <row r="24" spans="1:7" x14ac:dyDescent="0.35">
      <c r="A24" s="1">
        <v>23</v>
      </c>
      <c r="B24" s="65"/>
      <c r="C24" s="1">
        <v>2019</v>
      </c>
      <c r="D24" s="9">
        <f>'RRST ACCRUAL'!I24</f>
        <v>-2.0640508064436455E-2</v>
      </c>
      <c r="E24" s="9">
        <f>'Financial Performance'!G24</f>
        <v>0.15611363337089873</v>
      </c>
      <c r="F24" s="22">
        <f t="shared" si="0"/>
        <v>0.13547312530646227</v>
      </c>
      <c r="G24" s="9">
        <f t="shared" si="1"/>
        <v>0</v>
      </c>
    </row>
    <row r="25" spans="1:7" x14ac:dyDescent="0.35">
      <c r="A25" s="1">
        <v>24</v>
      </c>
      <c r="B25" s="65"/>
      <c r="C25" s="1">
        <v>2020</v>
      </c>
      <c r="D25" s="9">
        <f>'RRST ACCRUAL'!I25</f>
        <v>-0.10583598368385505</v>
      </c>
      <c r="E25" s="9">
        <f>'Financial Performance'!G25</f>
        <v>-3.0639513698967294E-2</v>
      </c>
      <c r="F25" s="22">
        <f t="shared" si="0"/>
        <v>-0.13647549738282233</v>
      </c>
      <c r="G25" s="9">
        <f t="shared" si="1"/>
        <v>0</v>
      </c>
    </row>
    <row r="26" spans="1:7" x14ac:dyDescent="0.35">
      <c r="A26" s="1">
        <v>25</v>
      </c>
      <c r="B26" s="66"/>
      <c r="C26" s="1">
        <v>2021</v>
      </c>
      <c r="D26" s="9">
        <f>'RRST ACCRUAL'!I26</f>
        <v>-3.6515795138787846E-2</v>
      </c>
      <c r="E26" s="9">
        <f>'Financial Performance'!G26</f>
        <v>0.14317919008958541</v>
      </c>
      <c r="F26" s="22">
        <f t="shared" si="0"/>
        <v>0.10666339495079756</v>
      </c>
      <c r="G26" s="9">
        <f t="shared" si="1"/>
        <v>0</v>
      </c>
    </row>
    <row r="27" spans="1:7" x14ac:dyDescent="0.35">
      <c r="A27" s="1">
        <v>26</v>
      </c>
      <c r="B27" s="64" t="s">
        <v>8</v>
      </c>
      <c r="C27" s="1">
        <v>2017</v>
      </c>
      <c r="D27" s="9">
        <f>'RRST ACCRUAL'!I27</f>
        <v>0</v>
      </c>
      <c r="E27" s="9" t="e">
        <f>'Financial Performance'!G27</f>
        <v>#DIV/0!</v>
      </c>
      <c r="F27" s="22" t="e">
        <f t="shared" si="0"/>
        <v>#DIV/0!</v>
      </c>
      <c r="G27" s="9" t="e">
        <f t="shared" si="1"/>
        <v>#DIV/0!</v>
      </c>
    </row>
    <row r="28" spans="1:7" x14ac:dyDescent="0.35">
      <c r="A28" s="1">
        <v>27</v>
      </c>
      <c r="B28" s="65"/>
      <c r="C28" s="1">
        <v>2018</v>
      </c>
      <c r="D28" s="9">
        <f>'RRST ACCRUAL'!I28</f>
        <v>-6.5759649556703832E-3</v>
      </c>
      <c r="E28" s="9">
        <f>'Financial Performance'!G28</f>
        <v>1.1553824916880081E-2</v>
      </c>
      <c r="F28" s="22">
        <f t="shared" si="0"/>
        <v>4.9778599612096981E-3</v>
      </c>
      <c r="G28" s="9">
        <f t="shared" si="1"/>
        <v>0</v>
      </c>
    </row>
    <row r="29" spans="1:7" x14ac:dyDescent="0.35">
      <c r="A29" s="1">
        <v>28</v>
      </c>
      <c r="B29" s="65"/>
      <c r="C29" s="1">
        <v>2019</v>
      </c>
      <c r="D29" s="9">
        <f>'RRST ACCRUAL'!I29</f>
        <v>1.0827372042955606E-2</v>
      </c>
      <c r="E29" s="9">
        <f>'Financial Performance'!G29</f>
        <v>-0.11267043116228358</v>
      </c>
      <c r="F29" s="22">
        <f t="shared" si="0"/>
        <v>-0.10184305911932798</v>
      </c>
      <c r="G29" s="9">
        <f t="shared" si="1"/>
        <v>0</v>
      </c>
    </row>
    <row r="30" spans="1:7" x14ac:dyDescent="0.35">
      <c r="A30" s="1">
        <v>29</v>
      </c>
      <c r="B30" s="65"/>
      <c r="C30" s="1">
        <v>2020</v>
      </c>
      <c r="D30" s="9">
        <f>'RRST ACCRUAL'!I30</f>
        <v>-8.772301550241722E-2</v>
      </c>
      <c r="E30" s="9">
        <f>'Financial Performance'!G30</f>
        <v>-0.10750119029972005</v>
      </c>
      <c r="F30" s="22">
        <f t="shared" si="0"/>
        <v>-0.19522420580213729</v>
      </c>
      <c r="G30" s="9">
        <f t="shared" si="1"/>
        <v>0</v>
      </c>
    </row>
    <row r="31" spans="1:7" x14ac:dyDescent="0.35">
      <c r="A31" s="1">
        <v>30</v>
      </c>
      <c r="B31" s="66"/>
      <c r="C31" s="1">
        <v>2021</v>
      </c>
      <c r="D31" s="9">
        <f>'RRST ACCRUAL'!I31</f>
        <v>2.7189994054024391E-2</v>
      </c>
      <c r="E31" s="9">
        <f>'Financial Performance'!G31</f>
        <v>3.2283904960643678E-2</v>
      </c>
      <c r="F31" s="22">
        <f t="shared" si="0"/>
        <v>5.9473899014668069E-2</v>
      </c>
      <c r="G31" s="9">
        <f t="shared" si="1"/>
        <v>0</v>
      </c>
    </row>
    <row r="32" spans="1:7" x14ac:dyDescent="0.35">
      <c r="A32" s="1">
        <v>31</v>
      </c>
      <c r="B32" s="64" t="s">
        <v>9</v>
      </c>
      <c r="C32" s="1">
        <v>2017</v>
      </c>
      <c r="D32" s="9">
        <f>'RRST ACCRUAL'!I32</f>
        <v>0</v>
      </c>
      <c r="E32" s="9" t="e">
        <f>'Financial Performance'!G32</f>
        <v>#DIV/0!</v>
      </c>
      <c r="F32" s="22" t="e">
        <f t="shared" si="0"/>
        <v>#DIV/0!</v>
      </c>
      <c r="G32" s="9" t="e">
        <f t="shared" si="1"/>
        <v>#DIV/0!</v>
      </c>
    </row>
    <row r="33" spans="1:7" x14ac:dyDescent="0.35">
      <c r="A33" s="1">
        <v>32</v>
      </c>
      <c r="B33" s="65"/>
      <c r="C33" s="1">
        <v>2018</v>
      </c>
      <c r="D33" s="9">
        <f>'RRST ACCRUAL'!I33</f>
        <v>0.21969463529496627</v>
      </c>
      <c r="E33" s="9">
        <f>'Financial Performance'!G33</f>
        <v>0.19898054898130468</v>
      </c>
      <c r="F33" s="22">
        <f t="shared" si="0"/>
        <v>0.41867518427627093</v>
      </c>
      <c r="G33" s="9">
        <f t="shared" si="1"/>
        <v>0</v>
      </c>
    </row>
    <row r="34" spans="1:7" x14ac:dyDescent="0.35">
      <c r="A34" s="1">
        <v>33</v>
      </c>
      <c r="B34" s="65"/>
      <c r="C34" s="1">
        <v>2019</v>
      </c>
      <c r="D34" s="9">
        <f>'RRST ACCRUAL'!I34</f>
        <v>-7.7724574526228718E-2</v>
      </c>
      <c r="E34" s="9">
        <f>'Financial Performance'!G34</f>
        <v>-1.2427869132683803E-2</v>
      </c>
      <c r="F34" s="22">
        <f t="shared" si="0"/>
        <v>-9.0152443658912521E-2</v>
      </c>
      <c r="G34" s="9">
        <f t="shared" si="1"/>
        <v>0</v>
      </c>
    </row>
    <row r="35" spans="1:7" x14ac:dyDescent="0.35">
      <c r="A35" s="1">
        <v>34</v>
      </c>
      <c r="B35" s="65"/>
      <c r="C35" s="1">
        <v>2020</v>
      </c>
      <c r="D35" s="9">
        <f>'RRST ACCRUAL'!I35</f>
        <v>-0.26952195387575284</v>
      </c>
      <c r="E35" s="9">
        <f>'Financial Performance'!G35</f>
        <v>-3.8015866302810772E-2</v>
      </c>
      <c r="F35" s="22">
        <f t="shared" si="0"/>
        <v>-0.30753782017856363</v>
      </c>
      <c r="G35" s="9">
        <f t="shared" si="1"/>
        <v>0</v>
      </c>
    </row>
    <row r="36" spans="1:7" x14ac:dyDescent="0.35">
      <c r="A36" s="1">
        <v>35</v>
      </c>
      <c r="B36" s="66"/>
      <c r="C36" s="1">
        <v>2021</v>
      </c>
      <c r="D36" s="9">
        <f>'RRST ACCRUAL'!I36</f>
        <v>-4.0417988297547008E-3</v>
      </c>
      <c r="E36" s="9">
        <f>'Financial Performance'!G36</f>
        <v>-8.6341234171075948E-2</v>
      </c>
      <c r="F36" s="22">
        <f t="shared" si="0"/>
        <v>-9.0383033000830643E-2</v>
      </c>
      <c r="G36" s="9">
        <f t="shared" si="1"/>
        <v>0</v>
      </c>
    </row>
    <row r="37" spans="1:7" x14ac:dyDescent="0.35">
      <c r="A37" s="1">
        <v>36</v>
      </c>
      <c r="B37" s="64" t="s">
        <v>10</v>
      </c>
      <c r="C37" s="1">
        <v>2017</v>
      </c>
      <c r="D37" s="9">
        <f>'RRST ACCRUAL'!I37</f>
        <v>0</v>
      </c>
      <c r="E37" s="9" t="e">
        <f>'Financial Performance'!G37</f>
        <v>#DIV/0!</v>
      </c>
      <c r="F37" s="22" t="e">
        <f t="shared" si="0"/>
        <v>#DIV/0!</v>
      </c>
      <c r="G37" s="9" t="e">
        <f t="shared" si="1"/>
        <v>#DIV/0!</v>
      </c>
    </row>
    <row r="38" spans="1:7" x14ac:dyDescent="0.35">
      <c r="A38" s="1">
        <v>37</v>
      </c>
      <c r="B38" s="65"/>
      <c r="C38" s="1">
        <v>2018</v>
      </c>
      <c r="D38" s="9">
        <f>'RRST ACCRUAL'!I38</f>
        <v>1.5650977674555842E-2</v>
      </c>
      <c r="E38" s="9">
        <f>'Financial Performance'!G38</f>
        <v>2.0592341307874046E-2</v>
      </c>
      <c r="F38" s="22">
        <f t="shared" si="0"/>
        <v>3.6243318982429884E-2</v>
      </c>
      <c r="G38" s="9">
        <f t="shared" si="1"/>
        <v>0</v>
      </c>
    </row>
    <row r="39" spans="1:7" x14ac:dyDescent="0.35">
      <c r="A39" s="1">
        <v>38</v>
      </c>
      <c r="B39" s="65"/>
      <c r="C39" s="1">
        <v>2019</v>
      </c>
      <c r="D39" s="9">
        <f>'RRST ACCRUAL'!I39</f>
        <v>-6.8481380718264043E-3</v>
      </c>
      <c r="E39" s="9">
        <f>'Financial Performance'!G39</f>
        <v>3.6832608910479889E-2</v>
      </c>
      <c r="F39" s="22">
        <f t="shared" si="0"/>
        <v>2.9984470838653486E-2</v>
      </c>
      <c r="G39" s="9">
        <f t="shared" si="1"/>
        <v>0</v>
      </c>
    </row>
    <row r="40" spans="1:7" x14ac:dyDescent="0.35">
      <c r="A40" s="1">
        <v>39</v>
      </c>
      <c r="B40" s="65"/>
      <c r="C40" s="1">
        <v>2020</v>
      </c>
      <c r="D40" s="9">
        <f>'RRST ACCRUAL'!I40</f>
        <v>-7.3795370271064503E-2</v>
      </c>
      <c r="E40" s="9">
        <f>'Financial Performance'!G40</f>
        <v>-8.2542703423560751E-2</v>
      </c>
      <c r="F40" s="22">
        <f t="shared" si="0"/>
        <v>-0.15633807369462527</v>
      </c>
      <c r="G40" s="9">
        <f t="shared" si="1"/>
        <v>0</v>
      </c>
    </row>
    <row r="41" spans="1:7" x14ac:dyDescent="0.35">
      <c r="A41" s="1">
        <v>40</v>
      </c>
      <c r="B41" s="66"/>
      <c r="C41" s="1">
        <v>2021</v>
      </c>
      <c r="D41" s="9">
        <f>'RRST ACCRUAL'!I41</f>
        <v>-7.7284447863530586E-2</v>
      </c>
      <c r="E41" s="9">
        <f>'Financial Performance'!G41</f>
        <v>0.14405387568272685</v>
      </c>
      <c r="F41" s="22">
        <f t="shared" si="0"/>
        <v>6.6769427819196259E-2</v>
      </c>
      <c r="G41" s="9">
        <f t="shared" si="1"/>
        <v>0</v>
      </c>
    </row>
    <row r="42" spans="1:7" x14ac:dyDescent="0.35">
      <c r="A42" s="1">
        <v>41</v>
      </c>
      <c r="B42" s="64" t="s">
        <v>11</v>
      </c>
      <c r="C42" s="1">
        <v>2017</v>
      </c>
      <c r="D42" s="9">
        <f>'RRST ACCRUAL'!I42</f>
        <v>0</v>
      </c>
      <c r="E42" s="9" t="e">
        <f>'Financial Performance'!G42</f>
        <v>#DIV/0!</v>
      </c>
      <c r="F42" s="22" t="e">
        <f t="shared" si="0"/>
        <v>#DIV/0!</v>
      </c>
      <c r="G42" s="9" t="e">
        <f t="shared" si="1"/>
        <v>#DIV/0!</v>
      </c>
    </row>
    <row r="43" spans="1:7" x14ac:dyDescent="0.35">
      <c r="A43" s="1">
        <v>42</v>
      </c>
      <c r="B43" s="65"/>
      <c r="C43" s="1">
        <v>2018</v>
      </c>
      <c r="D43" s="9">
        <f>'RRST ACCRUAL'!I43</f>
        <v>4.3165870174725639E-2</v>
      </c>
      <c r="E43" s="9">
        <f>'Financial Performance'!G43</f>
        <v>-0.21497422021923318</v>
      </c>
      <c r="F43" s="22">
        <f t="shared" si="0"/>
        <v>-0.17180835004450754</v>
      </c>
      <c r="G43" s="9">
        <f t="shared" si="1"/>
        <v>0</v>
      </c>
    </row>
    <row r="44" spans="1:7" x14ac:dyDescent="0.35">
      <c r="A44" s="1">
        <v>43</v>
      </c>
      <c r="B44" s="65"/>
      <c r="C44" s="1">
        <v>2019</v>
      </c>
      <c r="D44" s="9">
        <f>'RRST ACCRUAL'!I44</f>
        <v>5.6728384434809542E-2</v>
      </c>
      <c r="E44" s="9">
        <f>'Financial Performance'!G44</f>
        <v>0.14890681130870603</v>
      </c>
      <c r="F44" s="22">
        <f t="shared" si="0"/>
        <v>0.20563519574351558</v>
      </c>
      <c r="G44" s="9">
        <f t="shared" si="1"/>
        <v>0</v>
      </c>
    </row>
    <row r="45" spans="1:7" x14ac:dyDescent="0.35">
      <c r="A45" s="1">
        <v>44</v>
      </c>
      <c r="B45" s="65"/>
      <c r="C45" s="1">
        <v>2020</v>
      </c>
      <c r="D45" s="9">
        <f>'RRST ACCRUAL'!I45</f>
        <v>-5.5853402014789978E-2</v>
      </c>
      <c r="E45" s="9">
        <f>'Financial Performance'!G45</f>
        <v>-1.7503365133461922E-2</v>
      </c>
      <c r="F45" s="22">
        <f t="shared" si="0"/>
        <v>-7.33567671482519E-2</v>
      </c>
      <c r="G45" s="9">
        <f t="shared" si="1"/>
        <v>0</v>
      </c>
    </row>
    <row r="46" spans="1:7" x14ac:dyDescent="0.35">
      <c r="A46" s="1">
        <v>45</v>
      </c>
      <c r="B46" s="66"/>
      <c r="C46" s="1">
        <v>2021</v>
      </c>
      <c r="D46" s="9">
        <f>'RRST ACCRUAL'!I46</f>
        <v>3.1864079702139947E-2</v>
      </c>
      <c r="E46" s="9">
        <f>'Financial Performance'!G46</f>
        <v>-0.1238832720559087</v>
      </c>
      <c r="F46" s="22">
        <f t="shared" si="0"/>
        <v>-9.201919235376875E-2</v>
      </c>
      <c r="G46" s="9">
        <f t="shared" si="1"/>
        <v>0</v>
      </c>
    </row>
    <row r="47" spans="1:7" x14ac:dyDescent="0.35">
      <c r="A47" s="1">
        <v>46</v>
      </c>
      <c r="B47" s="64" t="s">
        <v>12</v>
      </c>
      <c r="C47" s="1">
        <v>2017</v>
      </c>
      <c r="D47" s="9">
        <f>'RRST ACCRUAL'!I47</f>
        <v>0</v>
      </c>
      <c r="E47" s="9" t="e">
        <f>'Financial Performance'!G47</f>
        <v>#DIV/0!</v>
      </c>
      <c r="F47" s="22" t="e">
        <f t="shared" si="0"/>
        <v>#DIV/0!</v>
      </c>
      <c r="G47" s="9" t="e">
        <f t="shared" si="1"/>
        <v>#DIV/0!</v>
      </c>
    </row>
    <row r="48" spans="1:7" x14ac:dyDescent="0.35">
      <c r="A48" s="1">
        <v>47</v>
      </c>
      <c r="B48" s="65"/>
      <c r="C48" s="1">
        <v>2018</v>
      </c>
      <c r="D48" s="9">
        <f>'RRST ACCRUAL'!I48</f>
        <v>2.0379791549623678E-2</v>
      </c>
      <c r="E48" s="9">
        <f>'Financial Performance'!G48</f>
        <v>-0.19025732573266327</v>
      </c>
      <c r="F48" s="22">
        <f t="shared" si="0"/>
        <v>-0.16987753418303958</v>
      </c>
      <c r="G48" s="9">
        <f t="shared" si="1"/>
        <v>0</v>
      </c>
    </row>
    <row r="49" spans="1:10" x14ac:dyDescent="0.35">
      <c r="A49" s="1">
        <v>48</v>
      </c>
      <c r="B49" s="65"/>
      <c r="C49" s="1">
        <v>2019</v>
      </c>
      <c r="D49" s="9">
        <f>'RRST ACCRUAL'!I49</f>
        <v>-5.5428514848177936E-2</v>
      </c>
      <c r="E49" s="9">
        <f>'Financial Performance'!G49</f>
        <v>4.9757811308359975E-2</v>
      </c>
      <c r="F49" s="22">
        <f t="shared" si="0"/>
        <v>-5.6707035398179603E-3</v>
      </c>
      <c r="G49" s="9">
        <f t="shared" si="1"/>
        <v>0</v>
      </c>
    </row>
    <row r="50" spans="1:10" x14ac:dyDescent="0.35">
      <c r="A50" s="1">
        <v>49</v>
      </c>
      <c r="B50" s="65"/>
      <c r="C50" s="1">
        <v>2020</v>
      </c>
      <c r="D50" s="9">
        <f>'RRST ACCRUAL'!I50</f>
        <v>2.1654043246534728E-2</v>
      </c>
      <c r="E50" s="9">
        <f>'Financial Performance'!G50</f>
        <v>9.3197710289649474E-2</v>
      </c>
      <c r="F50" s="22">
        <f t="shared" si="0"/>
        <v>0.11485175353618421</v>
      </c>
      <c r="G50" s="9">
        <f t="shared" si="1"/>
        <v>0</v>
      </c>
    </row>
    <row r="51" spans="1:10" x14ac:dyDescent="0.35">
      <c r="A51" s="1">
        <v>50</v>
      </c>
      <c r="B51" s="66"/>
      <c r="C51" s="1">
        <v>2021</v>
      </c>
      <c r="D51" s="9">
        <f>'RRST ACCRUAL'!I51</f>
        <v>-0.10028622223814838</v>
      </c>
      <c r="E51" s="9">
        <f>'Financial Performance'!G51</f>
        <v>7.5870303979125392E-2</v>
      </c>
      <c r="F51" s="22">
        <f t="shared" si="0"/>
        <v>-2.4415918259022992E-2</v>
      </c>
      <c r="G51" s="9">
        <f t="shared" si="1"/>
        <v>0</v>
      </c>
    </row>
    <row r="52" spans="1:10" x14ac:dyDescent="0.35">
      <c r="A52" s="1">
        <v>51</v>
      </c>
      <c r="B52" s="64" t="s">
        <v>13</v>
      </c>
      <c r="C52" s="1">
        <v>2017</v>
      </c>
      <c r="D52" s="9">
        <f>'RRST ACCRUAL'!I52</f>
        <v>0</v>
      </c>
      <c r="E52" s="9" t="e">
        <f>'Financial Performance'!G52</f>
        <v>#DIV/0!</v>
      </c>
      <c r="F52" s="22" t="e">
        <f t="shared" si="0"/>
        <v>#DIV/0!</v>
      </c>
      <c r="G52" s="9" t="e">
        <f t="shared" si="1"/>
        <v>#DIV/0!</v>
      </c>
    </row>
    <row r="53" spans="1:10" x14ac:dyDescent="0.35">
      <c r="A53" s="1">
        <v>52</v>
      </c>
      <c r="B53" s="65"/>
      <c r="C53" s="1">
        <v>2018</v>
      </c>
      <c r="D53" s="9">
        <f>'RRST ACCRUAL'!I53</f>
        <v>8.6863000102280104E-3</v>
      </c>
      <c r="E53" s="9">
        <f>'Financial Performance'!G53</f>
        <v>0.11845347768155295</v>
      </c>
      <c r="F53" s="22">
        <f t="shared" si="0"/>
        <v>0.12713977769178098</v>
      </c>
      <c r="G53" s="9">
        <f t="shared" si="1"/>
        <v>0</v>
      </c>
    </row>
    <row r="54" spans="1:10" x14ac:dyDescent="0.35">
      <c r="A54" s="1">
        <v>53</v>
      </c>
      <c r="B54" s="65"/>
      <c r="C54" s="1">
        <v>2019</v>
      </c>
      <c r="D54" s="9">
        <f>'RRST ACCRUAL'!I54</f>
        <v>-1.9180856001506246E-2</v>
      </c>
      <c r="E54" s="9">
        <f>'Financial Performance'!G54</f>
        <v>8.8730960051517871E-2</v>
      </c>
      <c r="F54" s="22">
        <f t="shared" si="0"/>
        <v>6.9550104050011621E-2</v>
      </c>
      <c r="G54" s="9">
        <f t="shared" si="1"/>
        <v>0</v>
      </c>
    </row>
    <row r="55" spans="1:10" x14ac:dyDescent="0.35">
      <c r="A55" s="1">
        <v>54</v>
      </c>
      <c r="B55" s="65"/>
      <c r="C55" s="1">
        <v>2020</v>
      </c>
      <c r="D55" s="9">
        <f>'RRST ACCRUAL'!I55</f>
        <v>6.8382845694103467E-2</v>
      </c>
      <c r="E55" s="9">
        <f>'Financial Performance'!G55</f>
        <v>-0.14388129822888049</v>
      </c>
      <c r="F55" s="22">
        <f t="shared" si="0"/>
        <v>-7.5498452534777022E-2</v>
      </c>
      <c r="G55" s="9">
        <f t="shared" si="1"/>
        <v>0</v>
      </c>
    </row>
    <row r="56" spans="1:10" x14ac:dyDescent="0.35">
      <c r="A56" s="1">
        <v>55</v>
      </c>
      <c r="B56" s="66"/>
      <c r="C56" s="1">
        <v>2021</v>
      </c>
      <c r="D56" s="9">
        <f>'RRST ACCRUAL'!I56</f>
        <v>0.21828727852676083</v>
      </c>
      <c r="E56" s="9">
        <f>'Financial Performance'!G56</f>
        <v>-3.7529626074868844E-2</v>
      </c>
      <c r="F56" s="22">
        <f t="shared" si="0"/>
        <v>0.18075765245189199</v>
      </c>
      <c r="G56" s="9">
        <f t="shared" si="1"/>
        <v>0</v>
      </c>
    </row>
    <row r="57" spans="1:10" x14ac:dyDescent="0.35">
      <c r="A57" s="1">
        <v>56</v>
      </c>
      <c r="B57" s="64" t="s">
        <v>14</v>
      </c>
      <c r="C57" s="1">
        <v>2017</v>
      </c>
      <c r="D57" s="9">
        <f>'RRST ACCRUAL'!I57</f>
        <v>0</v>
      </c>
      <c r="E57" s="9" t="e">
        <f>'Financial Performance'!G57</f>
        <v>#DIV/0!</v>
      </c>
      <c r="F57" s="22" t="e">
        <f t="shared" si="0"/>
        <v>#DIV/0!</v>
      </c>
      <c r="G57" s="9" t="e">
        <f t="shared" si="1"/>
        <v>#DIV/0!</v>
      </c>
      <c r="J57" t="s">
        <v>93</v>
      </c>
    </row>
    <row r="58" spans="1:10" x14ac:dyDescent="0.35">
      <c r="A58" s="1">
        <v>57</v>
      </c>
      <c r="B58" s="65"/>
      <c r="C58" s="1">
        <v>2018</v>
      </c>
      <c r="D58" s="9">
        <f>'RRST ACCRUAL'!I58</f>
        <v>1.5162471144364963E-2</v>
      </c>
      <c r="E58" s="9">
        <f>'Financial Performance'!G58</f>
        <v>-0.21204824293650085</v>
      </c>
      <c r="F58" s="22">
        <f t="shared" si="0"/>
        <v>-0.19688577179213587</v>
      </c>
      <c r="G58" s="9">
        <f t="shared" si="1"/>
        <v>0</v>
      </c>
    </row>
    <row r="59" spans="1:10" x14ac:dyDescent="0.35">
      <c r="A59" s="1">
        <v>58</v>
      </c>
      <c r="B59" s="65"/>
      <c r="C59" s="1">
        <v>2019</v>
      </c>
      <c r="D59" s="9">
        <f>'RRST ACCRUAL'!I59</f>
        <v>7.193671094191674E-3</v>
      </c>
      <c r="E59" s="9">
        <f>'Financial Performance'!G59</f>
        <v>-0.1844955304601619</v>
      </c>
      <c r="F59" s="22">
        <f t="shared" si="0"/>
        <v>-0.17730185936597023</v>
      </c>
      <c r="G59" s="9">
        <f t="shared" si="1"/>
        <v>0</v>
      </c>
    </row>
    <row r="60" spans="1:10" x14ac:dyDescent="0.35">
      <c r="A60" s="1">
        <v>59</v>
      </c>
      <c r="B60" s="65"/>
      <c r="C60" s="1">
        <v>2020</v>
      </c>
      <c r="D60" s="9">
        <f>'RRST ACCRUAL'!I60</f>
        <v>5.4363940680904966E-3</v>
      </c>
      <c r="E60" s="9">
        <f>'Financial Performance'!G60</f>
        <v>0.16484593538438005</v>
      </c>
      <c r="F60" s="22">
        <f t="shared" si="0"/>
        <v>0.17028232945247054</v>
      </c>
      <c r="G60" s="9">
        <f t="shared" si="1"/>
        <v>0</v>
      </c>
    </row>
    <row r="61" spans="1:10" x14ac:dyDescent="0.35">
      <c r="A61" s="1">
        <v>60</v>
      </c>
      <c r="B61" s="66"/>
      <c r="C61" s="1">
        <v>2021</v>
      </c>
      <c r="D61" s="9">
        <f>'RRST ACCRUAL'!I61</f>
        <v>0.12141684986624575</v>
      </c>
      <c r="E61" s="9">
        <f>'Financial Performance'!G61</f>
        <v>0.24083897770750518</v>
      </c>
      <c r="F61" s="22">
        <f t="shared" si="0"/>
        <v>0.36225582757375091</v>
      </c>
      <c r="G61" s="9">
        <f t="shared" si="1"/>
        <v>0</v>
      </c>
    </row>
    <row r="62" spans="1:10" x14ac:dyDescent="0.35">
      <c r="A62" s="1">
        <v>61</v>
      </c>
      <c r="B62" s="64" t="s">
        <v>15</v>
      </c>
      <c r="C62" s="1">
        <v>2017</v>
      </c>
      <c r="D62" s="9">
        <f>'RRST ACCRUAL'!I62</f>
        <v>0</v>
      </c>
      <c r="E62" s="9" t="e">
        <f>'Financial Performance'!G62</f>
        <v>#DIV/0!</v>
      </c>
      <c r="F62" s="22" t="e">
        <f t="shared" si="0"/>
        <v>#DIV/0!</v>
      </c>
      <c r="G62" s="9" t="e">
        <f t="shared" si="1"/>
        <v>#DIV/0!</v>
      </c>
    </row>
    <row r="63" spans="1:10" x14ac:dyDescent="0.35">
      <c r="A63" s="1">
        <v>62</v>
      </c>
      <c r="B63" s="65"/>
      <c r="C63" s="1">
        <v>2018</v>
      </c>
      <c r="D63" s="9">
        <f>'RRST ACCRUAL'!I63</f>
        <v>7.3340379090332794E-2</v>
      </c>
      <c r="E63" s="9">
        <f>'Financial Performance'!G63</f>
        <v>0.28140037215383473</v>
      </c>
      <c r="F63" s="22">
        <f t="shared" si="0"/>
        <v>0.35474075124416754</v>
      </c>
      <c r="G63" s="9">
        <f t="shared" si="1"/>
        <v>0</v>
      </c>
    </row>
    <row r="64" spans="1:10" x14ac:dyDescent="0.35">
      <c r="A64" s="1">
        <v>63</v>
      </c>
      <c r="B64" s="65"/>
      <c r="C64" s="1">
        <v>2019</v>
      </c>
      <c r="D64" s="9">
        <f>'RRST ACCRUAL'!I64</f>
        <v>-3.3506142619203046E-2</v>
      </c>
      <c r="E64" s="9">
        <f>'Financial Performance'!G64</f>
        <v>0.10801953063859393</v>
      </c>
      <c r="F64" s="22">
        <f t="shared" si="0"/>
        <v>7.4513388019390892E-2</v>
      </c>
      <c r="G64" s="9">
        <f t="shared" si="1"/>
        <v>0</v>
      </c>
    </row>
    <row r="65" spans="1:7" x14ac:dyDescent="0.35">
      <c r="A65" s="1">
        <v>64</v>
      </c>
      <c r="B65" s="65"/>
      <c r="C65" s="1">
        <v>2020</v>
      </c>
      <c r="D65" s="9">
        <f>'RRST ACCRUAL'!I65</f>
        <v>0.11320209251467374</v>
      </c>
      <c r="E65" s="9">
        <f>'Financial Performance'!G65</f>
        <v>-0.11415035578021071</v>
      </c>
      <c r="F65" s="22">
        <f t="shared" si="0"/>
        <v>-9.4826326553697216E-4</v>
      </c>
      <c r="G65" s="9">
        <f t="shared" si="1"/>
        <v>0</v>
      </c>
    </row>
    <row r="66" spans="1:7" x14ac:dyDescent="0.35">
      <c r="A66" s="1">
        <v>65</v>
      </c>
      <c r="B66" s="66"/>
      <c r="C66" s="1">
        <v>2021</v>
      </c>
      <c r="D66" s="9">
        <f>'RRST ACCRUAL'!I66</f>
        <v>0.21391496049798819</v>
      </c>
      <c r="E66" s="9">
        <f>'Financial Performance'!G66</f>
        <v>-0.14733333406441526</v>
      </c>
      <c r="F66" s="22">
        <f t="shared" si="0"/>
        <v>6.6581626433572932E-2</v>
      </c>
      <c r="G66" s="9">
        <f t="shared" si="1"/>
        <v>0</v>
      </c>
    </row>
    <row r="67" spans="1:7" x14ac:dyDescent="0.35">
      <c r="A67" s="1">
        <v>66</v>
      </c>
      <c r="B67" s="64" t="s">
        <v>16</v>
      </c>
      <c r="C67" s="1">
        <v>2017</v>
      </c>
      <c r="D67" s="9">
        <f>'RRST ACCRUAL'!I67</f>
        <v>0</v>
      </c>
      <c r="E67" s="9" t="e">
        <f>'Financial Performance'!G67</f>
        <v>#DIV/0!</v>
      </c>
      <c r="F67" s="22" t="e">
        <f t="shared" ref="F67:F130" si="2">D67+E67</f>
        <v>#DIV/0!</v>
      </c>
      <c r="G67" s="9" t="e">
        <f t="shared" ref="G67:G130" si="3">IF(F67&gt;1,1,0)</f>
        <v>#DIV/0!</v>
      </c>
    </row>
    <row r="68" spans="1:7" x14ac:dyDescent="0.35">
      <c r="A68" s="1">
        <v>67</v>
      </c>
      <c r="B68" s="65"/>
      <c r="C68" s="1">
        <v>2018</v>
      </c>
      <c r="D68" s="9">
        <f>'RRST ACCRUAL'!I68</f>
        <v>0.36310613887230858</v>
      </c>
      <c r="E68" s="9">
        <f>'Financial Performance'!G68</f>
        <v>0.79795915677103135</v>
      </c>
      <c r="F68" s="22">
        <f t="shared" si="2"/>
        <v>1.1610652956433398</v>
      </c>
      <c r="G68" s="9">
        <f t="shared" si="3"/>
        <v>1</v>
      </c>
    </row>
    <row r="69" spans="1:7" x14ac:dyDescent="0.35">
      <c r="A69" s="1">
        <v>68</v>
      </c>
      <c r="B69" s="65"/>
      <c r="C69" s="1">
        <v>2019</v>
      </c>
      <c r="D69" s="9">
        <f>'RRST ACCRUAL'!I69</f>
        <v>0.90216799387273783</v>
      </c>
      <c r="E69" s="9">
        <f>'Financial Performance'!G69</f>
        <v>2.0267746722246427</v>
      </c>
      <c r="F69" s="22">
        <f t="shared" si="2"/>
        <v>2.9289426660973805</v>
      </c>
      <c r="G69" s="9">
        <f t="shared" si="3"/>
        <v>1</v>
      </c>
    </row>
    <row r="70" spans="1:7" x14ac:dyDescent="0.35">
      <c r="A70" s="1">
        <v>69</v>
      </c>
      <c r="B70" s="65"/>
      <c r="C70" s="1">
        <v>2020</v>
      </c>
      <c r="D70" s="9">
        <f>'RRST ACCRUAL'!I70</f>
        <v>0.2640027379256355</v>
      </c>
      <c r="E70" s="9">
        <f>'Financial Performance'!G70</f>
        <v>1.2203986314251278</v>
      </c>
      <c r="F70" s="22">
        <f t="shared" si="2"/>
        <v>1.4844013693507634</v>
      </c>
      <c r="G70" s="9">
        <f t="shared" si="3"/>
        <v>1</v>
      </c>
    </row>
    <row r="71" spans="1:7" x14ac:dyDescent="0.35">
      <c r="A71" s="1">
        <v>70</v>
      </c>
      <c r="B71" s="66"/>
      <c r="C71" s="1">
        <v>2021</v>
      </c>
      <c r="D71" s="9">
        <f>'RRST ACCRUAL'!I71</f>
        <v>-0.25465037464044832</v>
      </c>
      <c r="E71" s="9">
        <f>'Financial Performance'!G71</f>
        <v>1.1282305107762831</v>
      </c>
      <c r="F71" s="22">
        <f t="shared" si="2"/>
        <v>0.87358013613583485</v>
      </c>
      <c r="G71" s="9">
        <f t="shared" si="3"/>
        <v>0</v>
      </c>
    </row>
    <row r="72" spans="1:7" x14ac:dyDescent="0.35">
      <c r="A72" s="1">
        <v>71</v>
      </c>
      <c r="B72" s="64" t="s">
        <v>17</v>
      </c>
      <c r="C72" s="1">
        <v>2017</v>
      </c>
      <c r="D72" s="9">
        <f>'RRST ACCRUAL'!I72</f>
        <v>0</v>
      </c>
      <c r="E72" s="9" t="e">
        <f>'Financial Performance'!G72</f>
        <v>#DIV/0!</v>
      </c>
      <c r="F72" s="22" t="e">
        <f t="shared" si="2"/>
        <v>#DIV/0!</v>
      </c>
      <c r="G72" s="9" t="e">
        <f t="shared" si="3"/>
        <v>#DIV/0!</v>
      </c>
    </row>
    <row r="73" spans="1:7" x14ac:dyDescent="0.35">
      <c r="A73" s="1">
        <v>72</v>
      </c>
      <c r="B73" s="65"/>
      <c r="C73" s="1">
        <v>2018</v>
      </c>
      <c r="D73" s="9">
        <f>'RRST ACCRUAL'!I73</f>
        <v>-8.5829780386797186E-2</v>
      </c>
      <c r="E73" s="9">
        <f>'Financial Performance'!G73</f>
        <v>9.5844815819772805E-2</v>
      </c>
      <c r="F73" s="22">
        <f t="shared" si="2"/>
        <v>1.0015035432975619E-2</v>
      </c>
      <c r="G73" s="9">
        <f t="shared" si="3"/>
        <v>0</v>
      </c>
    </row>
    <row r="74" spans="1:7" x14ac:dyDescent="0.35">
      <c r="A74" s="1">
        <v>73</v>
      </c>
      <c r="B74" s="65"/>
      <c r="C74" s="1">
        <v>2019</v>
      </c>
      <c r="D74" s="9">
        <f>'RRST ACCRUAL'!I74</f>
        <v>-4.6467293256900334E-2</v>
      </c>
      <c r="E74" s="9">
        <f>'Financial Performance'!G74</f>
        <v>-3.400445804161762E-2</v>
      </c>
      <c r="F74" s="22">
        <f t="shared" si="2"/>
        <v>-8.0471751298517954E-2</v>
      </c>
      <c r="G74" s="9">
        <f t="shared" si="3"/>
        <v>0</v>
      </c>
    </row>
    <row r="75" spans="1:7" x14ac:dyDescent="0.35">
      <c r="A75" s="1">
        <v>74</v>
      </c>
      <c r="B75" s="65"/>
      <c r="C75" s="1">
        <v>2020</v>
      </c>
      <c r="D75" s="9">
        <f>'RRST ACCRUAL'!I75</f>
        <v>2.6210285618985564E-2</v>
      </c>
      <c r="E75" s="9">
        <f>'Financial Performance'!G75</f>
        <v>0.69157512049006808</v>
      </c>
      <c r="F75" s="22">
        <f t="shared" si="2"/>
        <v>0.71778540610905361</v>
      </c>
      <c r="G75" s="9">
        <f t="shared" si="3"/>
        <v>0</v>
      </c>
    </row>
    <row r="76" spans="1:7" x14ac:dyDescent="0.35">
      <c r="A76" s="1">
        <v>75</v>
      </c>
      <c r="B76" s="66"/>
      <c r="C76" s="1">
        <v>2021</v>
      </c>
      <c r="D76" s="9">
        <f>'RRST ACCRUAL'!I76</f>
        <v>-0.24931379367033357</v>
      </c>
      <c r="E76" s="9">
        <f>'Financial Performance'!G76</f>
        <v>-0.20934818043744458</v>
      </c>
      <c r="F76" s="22">
        <f t="shared" si="2"/>
        <v>-0.45866197410777815</v>
      </c>
      <c r="G76" s="9">
        <f t="shared" si="3"/>
        <v>0</v>
      </c>
    </row>
    <row r="77" spans="1:7" x14ac:dyDescent="0.35">
      <c r="A77" s="1">
        <v>76</v>
      </c>
      <c r="B77" s="64" t="s">
        <v>18</v>
      </c>
      <c r="C77" s="1">
        <v>2017</v>
      </c>
      <c r="D77" s="9">
        <f>'RRST ACCRUAL'!I77</f>
        <v>0</v>
      </c>
      <c r="E77" s="9" t="e">
        <f>'Financial Performance'!G77</f>
        <v>#DIV/0!</v>
      </c>
      <c r="F77" s="22" t="e">
        <f t="shared" si="2"/>
        <v>#DIV/0!</v>
      </c>
      <c r="G77" s="9" t="e">
        <f t="shared" si="3"/>
        <v>#DIV/0!</v>
      </c>
    </row>
    <row r="78" spans="1:7" x14ac:dyDescent="0.35">
      <c r="A78" s="1">
        <v>77</v>
      </c>
      <c r="B78" s="65"/>
      <c r="C78" s="1">
        <v>2018</v>
      </c>
      <c r="D78" s="9">
        <f>'RRST ACCRUAL'!I78</f>
        <v>8.0067525726378638E-2</v>
      </c>
      <c r="E78" s="9">
        <f>'Financial Performance'!G78</f>
        <v>1.578247224118742</v>
      </c>
      <c r="F78" s="22">
        <f t="shared" si="2"/>
        <v>1.6583147498451205</v>
      </c>
      <c r="G78" s="9">
        <f t="shared" si="3"/>
        <v>1</v>
      </c>
    </row>
    <row r="79" spans="1:7" x14ac:dyDescent="0.35">
      <c r="A79" s="1">
        <v>78</v>
      </c>
      <c r="B79" s="65"/>
      <c r="C79" s="1">
        <v>2019</v>
      </c>
      <c r="D79" s="9">
        <f>'RRST ACCRUAL'!I79</f>
        <v>-0.27907150157050681</v>
      </c>
      <c r="E79" s="9">
        <f>'Financial Performance'!G79</f>
        <v>1.5099092185908134</v>
      </c>
      <c r="F79" s="22">
        <f t="shared" si="2"/>
        <v>1.2308377170203066</v>
      </c>
      <c r="G79" s="9">
        <f t="shared" si="3"/>
        <v>1</v>
      </c>
    </row>
    <row r="80" spans="1:7" x14ac:dyDescent="0.35">
      <c r="A80" s="1">
        <v>79</v>
      </c>
      <c r="B80" s="65"/>
      <c r="C80" s="1">
        <v>2020</v>
      </c>
      <c r="D80" s="9">
        <f>'RRST ACCRUAL'!I80</f>
        <v>-0.25335242737467395</v>
      </c>
      <c r="E80" s="9">
        <f>'Financial Performance'!G80</f>
        <v>0.95135548027577654</v>
      </c>
      <c r="F80" s="22">
        <f t="shared" si="2"/>
        <v>0.69800305290110254</v>
      </c>
      <c r="G80" s="9">
        <f t="shared" si="3"/>
        <v>0</v>
      </c>
    </row>
    <row r="81" spans="1:7" x14ac:dyDescent="0.35">
      <c r="A81" s="1">
        <v>80</v>
      </c>
      <c r="B81" s="66"/>
      <c r="C81" s="1">
        <v>2021</v>
      </c>
      <c r="D81" s="9">
        <f>'RRST ACCRUAL'!I81</f>
        <v>0.14664849863875448</v>
      </c>
      <c r="E81" s="9">
        <f>'Financial Performance'!G81</f>
        <v>1.0861587151854932</v>
      </c>
      <c r="F81" s="22">
        <f t="shared" si="2"/>
        <v>1.2328072138242476</v>
      </c>
      <c r="G81" s="9">
        <f t="shared" si="3"/>
        <v>1</v>
      </c>
    </row>
    <row r="82" spans="1:7" x14ac:dyDescent="0.35">
      <c r="A82" s="1">
        <v>81</v>
      </c>
      <c r="B82" s="64" t="s">
        <v>19</v>
      </c>
      <c r="C82" s="1">
        <v>2017</v>
      </c>
      <c r="D82" s="9">
        <f>'RRST ACCRUAL'!I82</f>
        <v>0</v>
      </c>
      <c r="E82" s="9" t="e">
        <f>'Financial Performance'!G82</f>
        <v>#DIV/0!</v>
      </c>
      <c r="F82" s="22" t="e">
        <f t="shared" si="2"/>
        <v>#DIV/0!</v>
      </c>
      <c r="G82" s="9" t="e">
        <f t="shared" si="3"/>
        <v>#DIV/0!</v>
      </c>
    </row>
    <row r="83" spans="1:7" ht="14.5" customHeight="1" x14ac:dyDescent="0.35">
      <c r="A83" s="1">
        <v>82</v>
      </c>
      <c r="B83" s="65"/>
      <c r="C83" s="1">
        <v>2018</v>
      </c>
      <c r="D83" s="9">
        <f>'RRST ACCRUAL'!I83</f>
        <v>6.4048299061226194E-2</v>
      </c>
      <c r="E83" s="9">
        <f>'Financial Performance'!G83</f>
        <v>-0.3789220704021018</v>
      </c>
      <c r="F83" s="22">
        <f t="shared" si="2"/>
        <v>-0.31487377134087557</v>
      </c>
      <c r="G83" s="9">
        <f t="shared" si="3"/>
        <v>0</v>
      </c>
    </row>
    <row r="84" spans="1:7" ht="14.5" customHeight="1" x14ac:dyDescent="0.35">
      <c r="A84" s="1">
        <v>83</v>
      </c>
      <c r="B84" s="65"/>
      <c r="C84" s="1">
        <v>2019</v>
      </c>
      <c r="D84" s="9">
        <f>'RRST ACCRUAL'!I84</f>
        <v>7.0748661591653231E-2</v>
      </c>
      <c r="E84" s="9">
        <f>'Financial Performance'!G84</f>
        <v>-0.18776711434173637</v>
      </c>
      <c r="F84" s="22">
        <f t="shared" si="2"/>
        <v>-0.11701845275008314</v>
      </c>
      <c r="G84" s="9">
        <f t="shared" si="3"/>
        <v>0</v>
      </c>
    </row>
    <row r="85" spans="1:7" ht="14.5" customHeight="1" x14ac:dyDescent="0.35">
      <c r="A85" s="1">
        <v>84</v>
      </c>
      <c r="B85" s="65"/>
      <c r="C85" s="1">
        <v>2020</v>
      </c>
      <c r="D85" s="9">
        <f>'RRST ACCRUAL'!I85</f>
        <v>5.8283317063475518E-2</v>
      </c>
      <c r="E85" s="9">
        <f>'Financial Performance'!G85</f>
        <v>-0.80154736038212615</v>
      </c>
      <c r="F85" s="22">
        <f t="shared" si="2"/>
        <v>-0.74326404331865059</v>
      </c>
      <c r="G85" s="9">
        <f t="shared" si="3"/>
        <v>0</v>
      </c>
    </row>
    <row r="86" spans="1:7" ht="14.5" customHeight="1" x14ac:dyDescent="0.35">
      <c r="A86" s="1">
        <v>85</v>
      </c>
      <c r="B86" s="66"/>
      <c r="C86" s="1">
        <v>2021</v>
      </c>
      <c r="D86" s="9">
        <f>'RRST ACCRUAL'!I86</f>
        <v>3.805954350837009E-2</v>
      </c>
      <c r="E86" s="9">
        <f>'Financial Performance'!G86</f>
        <v>-0.17957759934268044</v>
      </c>
      <c r="F86" s="22">
        <f t="shared" si="2"/>
        <v>-0.14151805583431035</v>
      </c>
      <c r="G86" s="9">
        <f t="shared" si="3"/>
        <v>0</v>
      </c>
    </row>
    <row r="87" spans="1:7" ht="14.5" customHeight="1" x14ac:dyDescent="0.35">
      <c r="A87" s="1">
        <v>86</v>
      </c>
      <c r="B87" s="64" t="s">
        <v>20</v>
      </c>
      <c r="C87" s="1">
        <v>2017</v>
      </c>
      <c r="D87" s="9">
        <f>'RRST ACCRUAL'!I87</f>
        <v>0</v>
      </c>
      <c r="E87" s="9" t="e">
        <f>'Financial Performance'!G87</f>
        <v>#DIV/0!</v>
      </c>
      <c r="F87" s="22" t="e">
        <f t="shared" si="2"/>
        <v>#DIV/0!</v>
      </c>
      <c r="G87" s="9" t="e">
        <f t="shared" si="3"/>
        <v>#DIV/0!</v>
      </c>
    </row>
    <row r="88" spans="1:7" ht="14.5" customHeight="1" x14ac:dyDescent="0.35">
      <c r="A88" s="1">
        <v>87</v>
      </c>
      <c r="B88" s="65"/>
      <c r="C88" s="1">
        <v>2018</v>
      </c>
      <c r="D88" s="9">
        <f>'RRST ACCRUAL'!I88</f>
        <v>1.5612132381429543E-2</v>
      </c>
      <c r="E88" s="9">
        <f>'Financial Performance'!G88</f>
        <v>0.1110688031423957</v>
      </c>
      <c r="F88" s="22">
        <f t="shared" si="2"/>
        <v>0.12668093552382526</v>
      </c>
      <c r="G88" s="9">
        <f t="shared" si="3"/>
        <v>0</v>
      </c>
    </row>
    <row r="89" spans="1:7" ht="14.5" customHeight="1" x14ac:dyDescent="0.35">
      <c r="A89" s="1">
        <v>88</v>
      </c>
      <c r="B89" s="65"/>
      <c r="C89" s="1">
        <v>2019</v>
      </c>
      <c r="D89" s="9">
        <f>'RRST ACCRUAL'!I89</f>
        <v>-0.201972059508567</v>
      </c>
      <c r="E89" s="9">
        <f>'Financial Performance'!G89</f>
        <v>-0.10635433500901405</v>
      </c>
      <c r="F89" s="22">
        <f t="shared" si="2"/>
        <v>-0.30832639451758104</v>
      </c>
      <c r="G89" s="9">
        <f t="shared" si="3"/>
        <v>0</v>
      </c>
    </row>
    <row r="90" spans="1:7" ht="14.5" customHeight="1" x14ac:dyDescent="0.35">
      <c r="A90" s="1">
        <v>89</v>
      </c>
      <c r="B90" s="65"/>
      <c r="C90" s="1">
        <v>2020</v>
      </c>
      <c r="D90" s="9">
        <f>'RRST ACCRUAL'!I90</f>
        <v>-1.212253585685593E-2</v>
      </c>
      <c r="E90" s="9">
        <f>'Financial Performance'!G90</f>
        <v>1.8542048126952045E-2</v>
      </c>
      <c r="F90" s="22">
        <f t="shared" si="2"/>
        <v>6.4195122700961144E-3</v>
      </c>
      <c r="G90" s="9">
        <f t="shared" si="3"/>
        <v>0</v>
      </c>
    </row>
    <row r="91" spans="1:7" ht="14.5" customHeight="1" x14ac:dyDescent="0.35">
      <c r="A91" s="1">
        <v>90</v>
      </c>
      <c r="B91" s="66"/>
      <c r="C91" s="1">
        <v>2021</v>
      </c>
      <c r="D91" s="9">
        <f>'RRST ACCRUAL'!I91</f>
        <v>-4.3440105620256964E-2</v>
      </c>
      <c r="E91" s="9">
        <f>'Financial Performance'!G91</f>
        <v>0.11906625413520917</v>
      </c>
      <c r="F91" s="22">
        <f t="shared" si="2"/>
        <v>7.562614851495221E-2</v>
      </c>
      <c r="G91" s="9">
        <f t="shared" si="3"/>
        <v>0</v>
      </c>
    </row>
    <row r="92" spans="1:7" ht="14.5" customHeight="1" x14ac:dyDescent="0.35">
      <c r="A92" s="1">
        <v>91</v>
      </c>
      <c r="B92" s="64" t="s">
        <v>21</v>
      </c>
      <c r="C92" s="1">
        <v>2017</v>
      </c>
      <c r="D92" s="9">
        <f>'RRST ACCRUAL'!I92</f>
        <v>0</v>
      </c>
      <c r="E92" s="9" t="e">
        <f>'Financial Performance'!G92</f>
        <v>#DIV/0!</v>
      </c>
      <c r="F92" s="22" t="e">
        <f t="shared" si="2"/>
        <v>#DIV/0!</v>
      </c>
      <c r="G92" s="9" t="e">
        <f t="shared" si="3"/>
        <v>#DIV/0!</v>
      </c>
    </row>
    <row r="93" spans="1:7" ht="14.5" customHeight="1" x14ac:dyDescent="0.35">
      <c r="A93" s="1">
        <v>92</v>
      </c>
      <c r="B93" s="65"/>
      <c r="C93" s="1">
        <v>2018</v>
      </c>
      <c r="D93" s="9">
        <f>'RRST ACCRUAL'!I93</f>
        <v>-0.10576979563119285</v>
      </c>
      <c r="E93" s="9">
        <f>'Financial Performance'!G93</f>
        <v>4.2465283813343718E-2</v>
      </c>
      <c r="F93" s="22">
        <f t="shared" si="2"/>
        <v>-6.330451181784913E-2</v>
      </c>
      <c r="G93" s="9">
        <f t="shared" si="3"/>
        <v>0</v>
      </c>
    </row>
    <row r="94" spans="1:7" ht="14.5" customHeight="1" x14ac:dyDescent="0.35">
      <c r="A94" s="1">
        <v>93</v>
      </c>
      <c r="B94" s="65"/>
      <c r="C94" s="1">
        <v>2019</v>
      </c>
      <c r="D94" s="9">
        <f>'RRST ACCRUAL'!I94</f>
        <v>-4.9084183186569236E-2</v>
      </c>
      <c r="E94" s="9">
        <f>'Financial Performance'!G94</f>
        <v>6.0720177420924865E-2</v>
      </c>
      <c r="F94" s="22">
        <f t="shared" si="2"/>
        <v>1.1635994234355629E-2</v>
      </c>
      <c r="G94" s="9">
        <f t="shared" si="3"/>
        <v>0</v>
      </c>
    </row>
    <row r="95" spans="1:7" ht="14.5" customHeight="1" x14ac:dyDescent="0.35">
      <c r="A95" s="1">
        <v>94</v>
      </c>
      <c r="B95" s="65"/>
      <c r="C95" s="1">
        <v>2020</v>
      </c>
      <c r="D95" s="9">
        <f>'RRST ACCRUAL'!I95</f>
        <v>-3.9610741358882963E-2</v>
      </c>
      <c r="E95" s="9">
        <f>'Financial Performance'!G95</f>
        <v>-4.6064289544033819E-2</v>
      </c>
      <c r="F95" s="22">
        <f t="shared" si="2"/>
        <v>-8.5675030902916782E-2</v>
      </c>
      <c r="G95" s="9">
        <f t="shared" si="3"/>
        <v>0</v>
      </c>
    </row>
    <row r="96" spans="1:7" ht="14.5" customHeight="1" x14ac:dyDescent="0.35">
      <c r="A96" s="1">
        <v>95</v>
      </c>
      <c r="B96" s="66"/>
      <c r="C96" s="1">
        <v>2021</v>
      </c>
      <c r="D96" s="9">
        <f>'RRST ACCRUAL'!I96</f>
        <v>-0.11448609138606404</v>
      </c>
      <c r="E96" s="9">
        <f>'Financial Performance'!G96</f>
        <v>0.10584144317210699</v>
      </c>
      <c r="F96" s="22">
        <f t="shared" si="2"/>
        <v>-8.6446482139570513E-3</v>
      </c>
      <c r="G96" s="9">
        <f t="shared" si="3"/>
        <v>0</v>
      </c>
    </row>
    <row r="97" spans="1:7" ht="14.5" customHeight="1" x14ac:dyDescent="0.35">
      <c r="A97" s="1">
        <v>96</v>
      </c>
      <c r="B97" s="64" t="s">
        <v>22</v>
      </c>
      <c r="C97" s="1">
        <v>2017</v>
      </c>
      <c r="D97" s="9">
        <f>'RRST ACCRUAL'!I97</f>
        <v>0</v>
      </c>
      <c r="E97" s="9" t="e">
        <f>'Financial Performance'!G97</f>
        <v>#DIV/0!</v>
      </c>
      <c r="F97" s="22" t="e">
        <f t="shared" si="2"/>
        <v>#DIV/0!</v>
      </c>
      <c r="G97" s="9" t="e">
        <f t="shared" si="3"/>
        <v>#DIV/0!</v>
      </c>
    </row>
    <row r="98" spans="1:7" ht="14.5" customHeight="1" x14ac:dyDescent="0.35">
      <c r="A98" s="1">
        <v>97</v>
      </c>
      <c r="B98" s="65"/>
      <c r="C98" s="1">
        <v>2018</v>
      </c>
      <c r="D98" s="9">
        <f>'RRST ACCRUAL'!I98</f>
        <v>-0.15311989551222319</v>
      </c>
      <c r="E98" s="9">
        <f>'Financial Performance'!G98</f>
        <v>0.17334513706701832</v>
      </c>
      <c r="F98" s="22">
        <f t="shared" si="2"/>
        <v>2.0225241554795131E-2</v>
      </c>
      <c r="G98" s="9">
        <f t="shared" si="3"/>
        <v>0</v>
      </c>
    </row>
    <row r="99" spans="1:7" ht="14.5" customHeight="1" x14ac:dyDescent="0.35">
      <c r="A99" s="1">
        <v>98</v>
      </c>
      <c r="B99" s="65"/>
      <c r="C99" s="1">
        <v>2019</v>
      </c>
      <c r="D99" s="9">
        <f>'RRST ACCRUAL'!I99</f>
        <v>0.14254579516058652</v>
      </c>
      <c r="E99" s="9">
        <f>'Financial Performance'!G99</f>
        <v>1.4093327713466951E-2</v>
      </c>
      <c r="F99" s="22">
        <f t="shared" si="2"/>
        <v>0.15663912287405346</v>
      </c>
      <c r="G99" s="9">
        <f t="shared" si="3"/>
        <v>0</v>
      </c>
    </row>
    <row r="100" spans="1:7" ht="14.5" customHeight="1" x14ac:dyDescent="0.35">
      <c r="A100" s="1">
        <v>99</v>
      </c>
      <c r="B100" s="65"/>
      <c r="C100" s="1">
        <v>2020</v>
      </c>
      <c r="D100" s="9">
        <f>'RRST ACCRUAL'!I100</f>
        <v>0.27911986184745974</v>
      </c>
      <c r="E100" s="9">
        <f>'Financial Performance'!G100</f>
        <v>-0.10493164760414185</v>
      </c>
      <c r="F100" s="22">
        <f t="shared" si="2"/>
        <v>0.17418821424331787</v>
      </c>
      <c r="G100" s="9">
        <f t="shared" si="3"/>
        <v>0</v>
      </c>
    </row>
    <row r="101" spans="1:7" ht="14.5" customHeight="1" x14ac:dyDescent="0.35">
      <c r="A101" s="1">
        <v>100</v>
      </c>
      <c r="B101" s="66"/>
      <c r="C101" s="1">
        <v>2021</v>
      </c>
      <c r="D101" s="9">
        <f>'RRST ACCRUAL'!I101</f>
        <v>-2.1514001341282899E-2</v>
      </c>
      <c r="E101" s="9">
        <f>'Financial Performance'!G101</f>
        <v>-0.26413732385540434</v>
      </c>
      <c r="F101" s="22">
        <f t="shared" si="2"/>
        <v>-0.28565132519668723</v>
      </c>
      <c r="G101" s="9">
        <f t="shared" si="3"/>
        <v>0</v>
      </c>
    </row>
    <row r="102" spans="1:7" ht="14.5" customHeight="1" x14ac:dyDescent="0.35">
      <c r="A102" s="1">
        <v>101</v>
      </c>
      <c r="B102" s="2" t="s">
        <v>78</v>
      </c>
      <c r="C102" s="25">
        <v>2017</v>
      </c>
      <c r="D102" s="9">
        <f>'RRST ACCRUAL'!I102</f>
        <v>0</v>
      </c>
      <c r="E102" s="9" t="e">
        <f>'Financial Performance'!G102</f>
        <v>#DIV/0!</v>
      </c>
      <c r="F102" s="22" t="e">
        <f t="shared" si="2"/>
        <v>#DIV/0!</v>
      </c>
      <c r="G102" s="9" t="e">
        <f t="shared" si="3"/>
        <v>#DIV/0!</v>
      </c>
    </row>
    <row r="103" spans="1:7" ht="14.5" customHeight="1" x14ac:dyDescent="0.35">
      <c r="A103" s="1">
        <v>102</v>
      </c>
      <c r="B103" s="2"/>
      <c r="C103" s="25">
        <v>2018</v>
      </c>
      <c r="D103" s="9">
        <f>'RRST ACCRUAL'!I103</f>
        <v>7.552643543347301E-2</v>
      </c>
      <c r="E103" s="9">
        <f>'Financial Performance'!G103</f>
        <v>7.1359116177632034E-3</v>
      </c>
      <c r="F103" s="22">
        <f t="shared" si="2"/>
        <v>8.2662347051236207E-2</v>
      </c>
      <c r="G103" s="9">
        <f t="shared" si="3"/>
        <v>0</v>
      </c>
    </row>
    <row r="104" spans="1:7" ht="14.5" customHeight="1" x14ac:dyDescent="0.35">
      <c r="A104" s="1">
        <v>103</v>
      </c>
      <c r="B104" s="2"/>
      <c r="C104" s="25">
        <v>2019</v>
      </c>
      <c r="D104" s="9">
        <f>'RRST ACCRUAL'!I104</f>
        <v>-6.6374028656116468E-2</v>
      </c>
      <c r="E104" s="9">
        <f>'Financial Performance'!G104</f>
        <v>-6.6011384786561073E-3</v>
      </c>
      <c r="F104" s="22">
        <f t="shared" si="2"/>
        <v>-7.2975167134772576E-2</v>
      </c>
      <c r="G104" s="9">
        <f t="shared" si="3"/>
        <v>0</v>
      </c>
    </row>
    <row r="105" spans="1:7" ht="14.5" customHeight="1" x14ac:dyDescent="0.35">
      <c r="A105" s="1">
        <v>104</v>
      </c>
      <c r="B105" s="2"/>
      <c r="C105" s="25">
        <v>2020</v>
      </c>
      <c r="D105" s="9">
        <f>'RRST ACCRUAL'!I105</f>
        <v>0.1099971320599544</v>
      </c>
      <c r="E105" s="9">
        <f>'Financial Performance'!G105</f>
        <v>0.17223331117203136</v>
      </c>
      <c r="F105" s="22">
        <f t="shared" si="2"/>
        <v>0.28223044323198576</v>
      </c>
      <c r="G105" s="9">
        <f t="shared" si="3"/>
        <v>0</v>
      </c>
    </row>
    <row r="106" spans="1:7" ht="14.5" customHeight="1" x14ac:dyDescent="0.35">
      <c r="A106" s="1">
        <v>105</v>
      </c>
      <c r="B106" s="2"/>
      <c r="C106" s="25">
        <v>2021</v>
      </c>
      <c r="D106" s="9">
        <f>'RRST ACCRUAL'!I106</f>
        <v>2.4749368971028033E-2</v>
      </c>
      <c r="E106" s="9">
        <f>'Financial Performance'!G106</f>
        <v>-5.334013542520992E-4</v>
      </c>
      <c r="F106" s="22">
        <f t="shared" si="2"/>
        <v>2.4215967616775934E-2</v>
      </c>
      <c r="G106" s="9">
        <f t="shared" si="3"/>
        <v>0</v>
      </c>
    </row>
    <row r="107" spans="1:7" ht="14.5" customHeight="1" x14ac:dyDescent="0.35">
      <c r="A107" s="1">
        <v>106</v>
      </c>
      <c r="B107" s="2" t="s">
        <v>79</v>
      </c>
      <c r="C107" s="25">
        <v>2017</v>
      </c>
      <c r="D107" s="9">
        <f>'RRST ACCRUAL'!I107</f>
        <v>0</v>
      </c>
      <c r="E107" s="9" t="e">
        <f>'Financial Performance'!G107</f>
        <v>#DIV/0!</v>
      </c>
      <c r="F107" s="22" t="e">
        <f t="shared" si="2"/>
        <v>#DIV/0!</v>
      </c>
      <c r="G107" s="9" t="e">
        <f t="shared" si="3"/>
        <v>#DIV/0!</v>
      </c>
    </row>
    <row r="108" spans="1:7" ht="14.5" customHeight="1" x14ac:dyDescent="0.35">
      <c r="A108" s="1">
        <v>107</v>
      </c>
      <c r="B108" s="2"/>
      <c r="C108" s="25">
        <v>2018</v>
      </c>
      <c r="D108" s="9">
        <f>'RRST ACCRUAL'!I108</f>
        <v>0.14836175296885368</v>
      </c>
      <c r="E108" s="9">
        <f>'Financial Performance'!G108</f>
        <v>-0.11968202330766732</v>
      </c>
      <c r="F108" s="22">
        <f t="shared" si="2"/>
        <v>2.8679729661186357E-2</v>
      </c>
      <c r="G108" s="9">
        <f t="shared" si="3"/>
        <v>0</v>
      </c>
    </row>
    <row r="109" spans="1:7" ht="14.5" customHeight="1" x14ac:dyDescent="0.35">
      <c r="A109" s="1">
        <v>108</v>
      </c>
      <c r="B109" s="2"/>
      <c r="C109" s="25">
        <v>2019</v>
      </c>
      <c r="D109" s="9">
        <f>'RRST ACCRUAL'!I109</f>
        <v>-4.3496950415610788E-2</v>
      </c>
      <c r="E109" s="9">
        <f>'Financial Performance'!G109</f>
        <v>-0.2229732019552072</v>
      </c>
      <c r="F109" s="22">
        <f t="shared" si="2"/>
        <v>-0.266470152370818</v>
      </c>
      <c r="G109" s="9">
        <f t="shared" si="3"/>
        <v>0</v>
      </c>
    </row>
    <row r="110" spans="1:7" ht="14.5" customHeight="1" x14ac:dyDescent="0.35">
      <c r="A110" s="1">
        <v>109</v>
      </c>
      <c r="B110" s="2"/>
      <c r="C110" s="25">
        <v>2020</v>
      </c>
      <c r="D110" s="9">
        <f>'RRST ACCRUAL'!I110</f>
        <v>0.24624753665072932</v>
      </c>
      <c r="E110" s="9">
        <f>-'Financial Performance'!G110</f>
        <v>0.73568917698164604</v>
      </c>
      <c r="F110" s="22">
        <f t="shared" si="2"/>
        <v>0.98193671363237534</v>
      </c>
      <c r="G110" s="9">
        <f t="shared" si="3"/>
        <v>0</v>
      </c>
    </row>
    <row r="111" spans="1:7" ht="14.5" customHeight="1" x14ac:dyDescent="0.35">
      <c r="A111" s="1">
        <v>110</v>
      </c>
      <c r="B111" s="2"/>
      <c r="C111" s="25">
        <v>2021</v>
      </c>
      <c r="D111" s="9">
        <f>'RRST ACCRUAL'!I111</f>
        <v>-1.4454416434060435E-2</v>
      </c>
      <c r="E111" s="9">
        <f>'Financial Performance'!G111</f>
        <v>-0.59095857469063284</v>
      </c>
      <c r="F111" s="22">
        <f t="shared" si="2"/>
        <v>-0.60541299112469327</v>
      </c>
      <c r="G111" s="9">
        <f t="shared" si="3"/>
        <v>0</v>
      </c>
    </row>
    <row r="112" spans="1:7" ht="14.5" customHeight="1" x14ac:dyDescent="0.35">
      <c r="A112" s="1">
        <v>111</v>
      </c>
      <c r="B112" s="2" t="s">
        <v>80</v>
      </c>
      <c r="C112" s="25">
        <v>2017</v>
      </c>
      <c r="D112" s="9">
        <f>'RRST ACCRUAL'!I112</f>
        <v>0</v>
      </c>
      <c r="E112" s="9" t="e">
        <f>'Financial Performance'!G112</f>
        <v>#DIV/0!</v>
      </c>
      <c r="F112" s="22" t="e">
        <f t="shared" si="2"/>
        <v>#DIV/0!</v>
      </c>
      <c r="G112" s="9" t="e">
        <f t="shared" si="3"/>
        <v>#DIV/0!</v>
      </c>
    </row>
    <row r="113" spans="1:7" ht="14.5" customHeight="1" x14ac:dyDescent="0.35">
      <c r="A113" s="1">
        <v>112</v>
      </c>
      <c r="B113" s="2"/>
      <c r="C113" s="25">
        <v>2018</v>
      </c>
      <c r="D113" s="9">
        <f>'RRST ACCRUAL'!I113</f>
        <v>5.9701812930796974E-3</v>
      </c>
      <c r="E113" s="9">
        <f>'Financial Performance'!G113</f>
        <v>-5.2232264795371006E-2</v>
      </c>
      <c r="F113" s="22">
        <f t="shared" si="2"/>
        <v>-4.6262083502291308E-2</v>
      </c>
      <c r="G113" s="9">
        <f t="shared" si="3"/>
        <v>0</v>
      </c>
    </row>
    <row r="114" spans="1:7" ht="14.5" customHeight="1" x14ac:dyDescent="0.35">
      <c r="A114" s="1">
        <v>113</v>
      </c>
      <c r="B114" s="2"/>
      <c r="C114" s="25">
        <v>2019</v>
      </c>
      <c r="D114" s="9">
        <f>'RRST ACCRUAL'!I114</f>
        <v>-1.0760452917353083E-2</v>
      </c>
      <c r="E114" s="9">
        <f>'Financial Performance'!G114</f>
        <v>-4.9079295724002089E-3</v>
      </c>
      <c r="F114" s="22">
        <f t="shared" si="2"/>
        <v>-1.5668382489753292E-2</v>
      </c>
      <c r="G114" s="9">
        <f t="shared" si="3"/>
        <v>0</v>
      </c>
    </row>
    <row r="115" spans="1:7" ht="14.5" customHeight="1" x14ac:dyDescent="0.35">
      <c r="A115" s="1">
        <v>114</v>
      </c>
      <c r="B115" s="2"/>
      <c r="C115" s="25">
        <v>2020</v>
      </c>
      <c r="D115" s="9">
        <f>'RRST ACCRUAL'!I115</f>
        <v>-3.2468668247311483E-2</v>
      </c>
      <c r="E115" s="9">
        <f>'Financial Performance'!G115</f>
        <v>0.18524031776541905</v>
      </c>
      <c r="F115" s="22">
        <f t="shared" si="2"/>
        <v>0.15277164951810757</v>
      </c>
      <c r="G115" s="9">
        <f t="shared" si="3"/>
        <v>0</v>
      </c>
    </row>
    <row r="116" spans="1:7" ht="14.5" customHeight="1" x14ac:dyDescent="0.35">
      <c r="A116" s="1">
        <v>115</v>
      </c>
      <c r="B116" s="2"/>
      <c r="C116" s="25">
        <v>2021</v>
      </c>
      <c r="D116" s="9">
        <f>'RRST ACCRUAL'!I116</f>
        <v>-7.7466932146466272E-2</v>
      </c>
      <c r="E116" s="9">
        <f>'Financial Performance'!G116</f>
        <v>9.4226628543082849E-2</v>
      </c>
      <c r="F116" s="22">
        <f t="shared" si="2"/>
        <v>1.6759696396616577E-2</v>
      </c>
      <c r="G116" s="9">
        <f t="shared" si="3"/>
        <v>0</v>
      </c>
    </row>
    <row r="117" spans="1:7" ht="14.5" customHeight="1" x14ac:dyDescent="0.35">
      <c r="A117" s="1">
        <v>116</v>
      </c>
      <c r="B117" s="2" t="s">
        <v>81</v>
      </c>
      <c r="C117" s="25">
        <v>2017</v>
      </c>
      <c r="D117" s="9">
        <f>'RRST ACCRUAL'!I117</f>
        <v>0</v>
      </c>
      <c r="E117" s="9" t="e">
        <f>'Financial Performance'!G117</f>
        <v>#DIV/0!</v>
      </c>
      <c r="F117" s="22" t="e">
        <f t="shared" si="2"/>
        <v>#DIV/0!</v>
      </c>
      <c r="G117" s="9" t="e">
        <f t="shared" si="3"/>
        <v>#DIV/0!</v>
      </c>
    </row>
    <row r="118" spans="1:7" ht="14.5" customHeight="1" x14ac:dyDescent="0.35">
      <c r="A118" s="1">
        <v>117</v>
      </c>
      <c r="B118" s="2"/>
      <c r="C118" s="25">
        <v>2018</v>
      </c>
      <c r="D118" s="9">
        <f>'RRST ACCRUAL'!I118</f>
        <v>-0.10215070141432106</v>
      </c>
      <c r="E118" s="9">
        <f>'Financial Performance'!G118</f>
        <v>4.4221996013852544E-2</v>
      </c>
      <c r="F118" s="22">
        <f t="shared" si="2"/>
        <v>-5.7928705400468516E-2</v>
      </c>
      <c r="G118" s="9">
        <f t="shared" si="3"/>
        <v>0</v>
      </c>
    </row>
    <row r="119" spans="1:7" ht="14.5" customHeight="1" x14ac:dyDescent="0.35">
      <c r="A119" s="1">
        <v>118</v>
      </c>
      <c r="B119" s="2"/>
      <c r="C119" s="25">
        <v>2019</v>
      </c>
      <c r="D119" s="9">
        <f>'RRST ACCRUAL'!I119</f>
        <v>-2.5647887929269909E-2</v>
      </c>
      <c r="E119" s="9">
        <f>'Financial Performance'!G119</f>
        <v>5.6441796440469975E-2</v>
      </c>
      <c r="F119" s="22">
        <f t="shared" si="2"/>
        <v>3.0793908511200067E-2</v>
      </c>
      <c r="G119" s="9">
        <f t="shared" si="3"/>
        <v>0</v>
      </c>
    </row>
    <row r="120" spans="1:7" ht="14.5" customHeight="1" x14ac:dyDescent="0.35">
      <c r="A120" s="1">
        <v>119</v>
      </c>
      <c r="B120" s="2"/>
      <c r="C120" s="25">
        <v>2020</v>
      </c>
      <c r="D120" s="9">
        <f>'RRST ACCRUAL'!I120</f>
        <v>4.2777780316559013E-3</v>
      </c>
      <c r="E120" s="9">
        <f>'Financial Performance'!G120</f>
        <v>-2.7747659405110675E-2</v>
      </c>
      <c r="F120" s="22">
        <f t="shared" si="2"/>
        <v>-2.3469881373454772E-2</v>
      </c>
      <c r="G120" s="9">
        <f t="shared" si="3"/>
        <v>0</v>
      </c>
    </row>
    <row r="121" spans="1:7" ht="14.5" customHeight="1" x14ac:dyDescent="0.35">
      <c r="A121" s="1">
        <v>120</v>
      </c>
      <c r="B121" s="2"/>
      <c r="C121" s="25">
        <v>2021</v>
      </c>
      <c r="D121" s="9">
        <f>'RRST ACCRUAL'!I121</f>
        <v>-6.7788550845105017E-2</v>
      </c>
      <c r="E121" s="9">
        <f>'Financial Performance'!G121</f>
        <v>0.27307548149806971</v>
      </c>
      <c r="F121" s="22">
        <f t="shared" si="2"/>
        <v>0.20528693065296469</v>
      </c>
      <c r="G121" s="9">
        <f t="shared" si="3"/>
        <v>0</v>
      </c>
    </row>
    <row r="122" spans="1:7" ht="14.5" customHeight="1" x14ac:dyDescent="0.35">
      <c r="A122" s="1">
        <v>121</v>
      </c>
      <c r="B122" s="2" t="s">
        <v>82</v>
      </c>
      <c r="C122" s="25">
        <v>2017</v>
      </c>
      <c r="D122" s="9">
        <f>'RRST ACCRUAL'!I122</f>
        <v>0</v>
      </c>
      <c r="E122" s="9" t="e">
        <f>'Financial Performance'!G122</f>
        <v>#DIV/0!</v>
      </c>
      <c r="F122" s="22" t="e">
        <f t="shared" si="2"/>
        <v>#DIV/0!</v>
      </c>
      <c r="G122" s="9" t="e">
        <f t="shared" si="3"/>
        <v>#DIV/0!</v>
      </c>
    </row>
    <row r="123" spans="1:7" ht="14.5" customHeight="1" x14ac:dyDescent="0.35">
      <c r="A123" s="1">
        <v>122</v>
      </c>
      <c r="B123" s="2"/>
      <c r="C123" s="25">
        <v>2018</v>
      </c>
      <c r="D123" s="9">
        <f>'RRST ACCRUAL'!I123</f>
        <v>6.8107727792385955E-2</v>
      </c>
      <c r="E123" s="9">
        <f>'Financial Performance'!G123</f>
        <v>-0.10825913860325381</v>
      </c>
      <c r="F123" s="22">
        <f t="shared" si="2"/>
        <v>-4.0151410810867857E-2</v>
      </c>
      <c r="G123" s="9">
        <f t="shared" si="3"/>
        <v>0</v>
      </c>
    </row>
    <row r="124" spans="1:7" ht="14.5" customHeight="1" x14ac:dyDescent="0.35">
      <c r="A124" s="1">
        <v>123</v>
      </c>
      <c r="B124" s="2"/>
      <c r="C124" s="25">
        <v>2019</v>
      </c>
      <c r="D124" s="9">
        <f>'RRST ACCRUAL'!I124</f>
        <v>2.1484609184198641E-2</v>
      </c>
      <c r="E124" s="9">
        <f>'Financial Performance'!G124</f>
        <v>0.28223078764181636</v>
      </c>
      <c r="F124" s="22">
        <f t="shared" si="2"/>
        <v>0.303715396826015</v>
      </c>
      <c r="G124" s="9">
        <f t="shared" si="3"/>
        <v>0</v>
      </c>
    </row>
    <row r="125" spans="1:7" ht="14.5" customHeight="1" x14ac:dyDescent="0.35">
      <c r="A125" s="1">
        <v>124</v>
      </c>
      <c r="B125" s="2"/>
      <c r="C125" s="25">
        <v>2020</v>
      </c>
      <c r="D125" s="9">
        <f>'RRST ACCRUAL'!I125</f>
        <v>2.313433018628411E-3</v>
      </c>
      <c r="E125" s="9">
        <f>'Financial Performance'!G125</f>
        <v>-0.61911339701460888</v>
      </c>
      <c r="F125" s="22">
        <f t="shared" si="2"/>
        <v>-0.61679996399598047</v>
      </c>
      <c r="G125" s="9">
        <f t="shared" si="3"/>
        <v>0</v>
      </c>
    </row>
    <row r="126" spans="1:7" ht="14.5" customHeight="1" x14ac:dyDescent="0.35">
      <c r="A126" s="1">
        <v>125</v>
      </c>
      <c r="B126" s="2"/>
      <c r="C126" s="25">
        <v>2021</v>
      </c>
      <c r="D126" s="9">
        <f>'RRST ACCRUAL'!I126</f>
        <v>-0.27982885827615867</v>
      </c>
      <c r="E126" s="9">
        <f>'Financial Performance'!G126</f>
        <v>0.25334358346470987</v>
      </c>
      <c r="F126" s="22">
        <f t="shared" si="2"/>
        <v>-2.64852748114488E-2</v>
      </c>
      <c r="G126" s="9">
        <f t="shared" si="3"/>
        <v>0</v>
      </c>
    </row>
    <row r="127" spans="1:7" ht="14.5" customHeight="1" x14ac:dyDescent="0.35">
      <c r="A127" s="1">
        <v>126</v>
      </c>
      <c r="B127" s="2" t="s">
        <v>83</v>
      </c>
      <c r="C127" s="25">
        <v>2017</v>
      </c>
      <c r="D127" s="9">
        <f>'RRST ACCRUAL'!I127</f>
        <v>0</v>
      </c>
      <c r="E127" s="9" t="e">
        <f>'Financial Performance'!G127</f>
        <v>#DIV/0!</v>
      </c>
      <c r="F127" s="22" t="e">
        <f t="shared" si="2"/>
        <v>#DIV/0!</v>
      </c>
      <c r="G127" s="9" t="e">
        <f t="shared" si="3"/>
        <v>#DIV/0!</v>
      </c>
    </row>
    <row r="128" spans="1:7" ht="14.5" customHeight="1" x14ac:dyDescent="0.35">
      <c r="A128" s="1">
        <v>127</v>
      </c>
      <c r="B128" s="2"/>
      <c r="C128" s="25">
        <v>2018</v>
      </c>
      <c r="D128" s="9">
        <f>'RRST ACCRUAL'!I128</f>
        <v>-0.20679677008747666</v>
      </c>
      <c r="E128" s="9">
        <f>'Financial Performance'!G128</f>
        <v>2.1878089005859743E-2</v>
      </c>
      <c r="F128" s="22">
        <f t="shared" si="2"/>
        <v>-0.18491868108161691</v>
      </c>
      <c r="G128" s="9">
        <f t="shared" si="3"/>
        <v>0</v>
      </c>
    </row>
    <row r="129" spans="1:7" ht="14.5" customHeight="1" x14ac:dyDescent="0.35">
      <c r="A129" s="1">
        <v>128</v>
      </c>
      <c r="B129" s="2"/>
      <c r="C129" s="25">
        <v>2019</v>
      </c>
      <c r="D129" s="9">
        <f>'RRST ACCRUAL'!I129</f>
        <v>-0.3006140949171528</v>
      </c>
      <c r="E129" s="9">
        <f>'Financial Performance'!G129</f>
        <v>-2.6558738597956891E-2</v>
      </c>
      <c r="F129" s="22">
        <f t="shared" si="2"/>
        <v>-0.32717283351510967</v>
      </c>
      <c r="G129" s="9">
        <f t="shared" si="3"/>
        <v>0</v>
      </c>
    </row>
    <row r="130" spans="1:7" ht="14.5" customHeight="1" x14ac:dyDescent="0.35">
      <c r="A130" s="1">
        <v>129</v>
      </c>
      <c r="B130" s="2"/>
      <c r="C130" s="25">
        <v>2020</v>
      </c>
      <c r="D130" s="9">
        <f>'RRST ACCRUAL'!I130</f>
        <v>-0.46469102373892657</v>
      </c>
      <c r="E130" s="9">
        <f>'Financial Performance'!G130</f>
        <v>0.21923645537858585</v>
      </c>
      <c r="F130" s="22">
        <f t="shared" si="2"/>
        <v>-0.24545456836034071</v>
      </c>
      <c r="G130" s="9">
        <f t="shared" si="3"/>
        <v>0</v>
      </c>
    </row>
    <row r="131" spans="1:7" ht="14.5" customHeight="1" x14ac:dyDescent="0.35">
      <c r="A131" s="1">
        <v>130</v>
      </c>
      <c r="B131" s="2"/>
      <c r="C131" s="25">
        <v>2021</v>
      </c>
      <c r="D131" s="9">
        <f>'RRST ACCRUAL'!I131</f>
        <v>-0.36379957294634457</v>
      </c>
      <c r="E131" s="9">
        <f>'Financial Performance'!G131</f>
        <v>6.9131036679995678E-2</v>
      </c>
      <c r="F131" s="22">
        <f t="shared" ref="F131:F176" si="4">D131+E131</f>
        <v>-0.29466853626634892</v>
      </c>
      <c r="G131" s="9">
        <f t="shared" ref="G131:G176" si="5">IF(F131&gt;1,1,0)</f>
        <v>0</v>
      </c>
    </row>
    <row r="132" spans="1:7" ht="14.5" customHeight="1" x14ac:dyDescent="0.35">
      <c r="A132" s="1">
        <v>131</v>
      </c>
      <c r="B132" s="2" t="s">
        <v>84</v>
      </c>
      <c r="C132" s="25">
        <v>2017</v>
      </c>
      <c r="D132" s="9">
        <f>'RRST ACCRUAL'!I132</f>
        <v>0</v>
      </c>
      <c r="E132" s="9" t="e">
        <f>'Financial Performance'!G132</f>
        <v>#DIV/0!</v>
      </c>
      <c r="F132" s="22" t="e">
        <f t="shared" si="4"/>
        <v>#DIV/0!</v>
      </c>
      <c r="G132" s="9" t="e">
        <f t="shared" si="5"/>
        <v>#DIV/0!</v>
      </c>
    </row>
    <row r="133" spans="1:7" ht="14.5" customHeight="1" x14ac:dyDescent="0.35">
      <c r="A133" s="1">
        <v>132</v>
      </c>
      <c r="B133" s="2"/>
      <c r="C133" s="25">
        <v>2018</v>
      </c>
      <c r="D133" s="9">
        <f>'RRST ACCRUAL'!I133</f>
        <v>-0.18264842197722589</v>
      </c>
      <c r="E133" s="9">
        <f>'Financial Performance'!G133</f>
        <v>1.6900876769892804E-2</v>
      </c>
      <c r="F133" s="22">
        <f t="shared" si="4"/>
        <v>-0.16574754520733309</v>
      </c>
      <c r="G133" s="9">
        <f t="shared" si="5"/>
        <v>0</v>
      </c>
    </row>
    <row r="134" spans="1:7" ht="14.5" customHeight="1" x14ac:dyDescent="0.35">
      <c r="A134" s="1">
        <v>133</v>
      </c>
      <c r="B134" s="2"/>
      <c r="C134" s="25">
        <v>2019</v>
      </c>
      <c r="D134" s="9">
        <f>'RRST ACCRUAL'!I134</f>
        <v>-0.16957555246109141</v>
      </c>
      <c r="E134" s="9">
        <f>'Financial Performance'!G134</f>
        <v>-4.5642548268274193E-3</v>
      </c>
      <c r="F134" s="22">
        <f t="shared" si="4"/>
        <v>-0.17413980728791884</v>
      </c>
      <c r="G134" s="9">
        <f t="shared" si="5"/>
        <v>0</v>
      </c>
    </row>
    <row r="135" spans="1:7" ht="14.5" customHeight="1" x14ac:dyDescent="0.35">
      <c r="A135" s="1">
        <v>134</v>
      </c>
      <c r="B135" s="2"/>
      <c r="C135" s="25">
        <v>2020</v>
      </c>
      <c r="D135" s="9">
        <f>'RRST ACCRUAL'!I135</f>
        <v>-7.6510936674253738E-2</v>
      </c>
      <c r="E135" s="9">
        <f>'Financial Performance'!G135</f>
        <v>-6.8968980226899443E-2</v>
      </c>
      <c r="F135" s="22">
        <f t="shared" si="4"/>
        <v>-0.14547991690115319</v>
      </c>
      <c r="G135" s="9">
        <f t="shared" si="5"/>
        <v>0</v>
      </c>
    </row>
    <row r="136" spans="1:7" ht="14.5" customHeight="1" x14ac:dyDescent="0.35">
      <c r="A136" s="1">
        <v>135</v>
      </c>
      <c r="B136" s="2"/>
      <c r="C136" s="25">
        <v>2021</v>
      </c>
      <c r="D136" s="9">
        <f>'RRST ACCRUAL'!I136</f>
        <v>-0.16565620670735023</v>
      </c>
      <c r="E136" s="9">
        <f>'Financial Performance'!G136</f>
        <v>0.28077956767288881</v>
      </c>
      <c r="F136" s="22">
        <f t="shared" si="4"/>
        <v>0.11512336096553857</v>
      </c>
      <c r="G136" s="9">
        <f t="shared" si="5"/>
        <v>0</v>
      </c>
    </row>
    <row r="137" spans="1:7" ht="14.5" customHeight="1" x14ac:dyDescent="0.35">
      <c r="A137" s="1">
        <v>136</v>
      </c>
      <c r="B137" s="2" t="s">
        <v>85</v>
      </c>
      <c r="C137" s="25">
        <v>2017</v>
      </c>
      <c r="D137" s="9">
        <f>'RRST ACCRUAL'!I137</f>
        <v>0</v>
      </c>
      <c r="E137" s="9" t="e">
        <f>'Financial Performance'!G137</f>
        <v>#DIV/0!</v>
      </c>
      <c r="F137" s="22" t="e">
        <f t="shared" si="4"/>
        <v>#DIV/0!</v>
      </c>
      <c r="G137" s="9" t="e">
        <f t="shared" si="5"/>
        <v>#DIV/0!</v>
      </c>
    </row>
    <row r="138" spans="1:7" ht="14.5" customHeight="1" x14ac:dyDescent="0.35">
      <c r="A138" s="1">
        <v>137</v>
      </c>
      <c r="B138" s="2"/>
      <c r="C138" s="25">
        <v>2018</v>
      </c>
      <c r="D138" s="9">
        <f>'RRST ACCRUAL'!I138</f>
        <v>-1.1949453514969042E-2</v>
      </c>
      <c r="E138" s="9">
        <f>'Financial Performance'!G138</f>
        <v>2.1314267227280536E-2</v>
      </c>
      <c r="F138" s="22">
        <f t="shared" si="4"/>
        <v>9.3648137123114941E-3</v>
      </c>
      <c r="G138" s="9">
        <f t="shared" si="5"/>
        <v>0</v>
      </c>
    </row>
    <row r="139" spans="1:7" ht="14.5" customHeight="1" x14ac:dyDescent="0.35">
      <c r="A139" s="1">
        <v>138</v>
      </c>
      <c r="B139" s="2"/>
      <c r="C139" s="25">
        <v>2019</v>
      </c>
      <c r="D139" s="9">
        <f>'RRST ACCRUAL'!I139</f>
        <v>-3.9033532760039659E-2</v>
      </c>
      <c r="E139" s="9">
        <f>'Financial Performance'!G139</f>
        <v>3.7016633335650612E-2</v>
      </c>
      <c r="F139" s="22">
        <f t="shared" si="4"/>
        <v>-2.0168994243890473E-3</v>
      </c>
      <c r="G139" s="9">
        <f t="shared" si="5"/>
        <v>0</v>
      </c>
    </row>
    <row r="140" spans="1:7" ht="14.5" customHeight="1" x14ac:dyDescent="0.35">
      <c r="A140" s="1">
        <v>139</v>
      </c>
      <c r="B140" s="2"/>
      <c r="C140" s="25">
        <v>2020</v>
      </c>
      <c r="D140" s="9">
        <f>'RRST ACCRUAL'!I140</f>
        <v>-0.10174185817097889</v>
      </c>
      <c r="E140" s="9">
        <f>'Financial Performance'!G140</f>
        <v>-6.597667297901455E-2</v>
      </c>
      <c r="F140" s="22">
        <f t="shared" si="4"/>
        <v>-0.16771853114999344</v>
      </c>
      <c r="G140" s="9">
        <f t="shared" si="5"/>
        <v>0</v>
      </c>
    </row>
    <row r="141" spans="1:7" ht="14.5" customHeight="1" x14ac:dyDescent="0.35">
      <c r="A141" s="1">
        <v>140</v>
      </c>
      <c r="B141" s="2"/>
      <c r="C141" s="25">
        <v>2021</v>
      </c>
      <c r="D141" s="9">
        <f>'RRST ACCRUAL'!I141</f>
        <v>-3.5413011107083392E-2</v>
      </c>
      <c r="E141" s="9">
        <f>'Financial Performance'!G141</f>
        <v>0.19190997741854368</v>
      </c>
      <c r="F141" s="22">
        <f t="shared" si="4"/>
        <v>0.15649696631146029</v>
      </c>
      <c r="G141" s="9">
        <f t="shared" si="5"/>
        <v>0</v>
      </c>
    </row>
    <row r="142" spans="1:7" ht="14.5" customHeight="1" x14ac:dyDescent="0.35">
      <c r="A142" s="1">
        <v>141</v>
      </c>
      <c r="B142" s="2" t="s">
        <v>86</v>
      </c>
      <c r="C142" s="25">
        <v>2017</v>
      </c>
      <c r="D142" s="9">
        <f>'RRST ACCRUAL'!I142</f>
        <v>0</v>
      </c>
      <c r="E142" s="9" t="e">
        <f>'Financial Performance'!G142</f>
        <v>#DIV/0!</v>
      </c>
      <c r="F142" s="22" t="e">
        <f t="shared" si="4"/>
        <v>#DIV/0!</v>
      </c>
      <c r="G142" s="9" t="e">
        <f t="shared" si="5"/>
        <v>#DIV/0!</v>
      </c>
    </row>
    <row r="143" spans="1:7" ht="15.5" x14ac:dyDescent="0.35">
      <c r="A143" s="1">
        <v>142</v>
      </c>
      <c r="B143" s="2"/>
      <c r="C143" s="25">
        <v>2018</v>
      </c>
      <c r="D143" s="9">
        <f>'RRST ACCRUAL'!I143</f>
        <v>-1.6693613518575863E-3</v>
      </c>
      <c r="E143" s="9">
        <f>'Financial Performance'!G143</f>
        <v>-3.3030799202270006E-2</v>
      </c>
      <c r="F143" s="22">
        <f t="shared" si="4"/>
        <v>-3.4700160554127592E-2</v>
      </c>
      <c r="G143" s="9">
        <f t="shared" si="5"/>
        <v>0</v>
      </c>
    </row>
    <row r="144" spans="1:7" ht="15.5" x14ac:dyDescent="0.35">
      <c r="A144" s="1">
        <v>143</v>
      </c>
      <c r="B144" s="2"/>
      <c r="C144" s="25">
        <v>2019</v>
      </c>
      <c r="D144" s="9">
        <f>'RRST ACCRUAL'!I144</f>
        <v>-3.5054254305964143E-2</v>
      </c>
      <c r="E144" s="9">
        <f>'Financial Performance'!G144</f>
        <v>-0.13782883101022408</v>
      </c>
      <c r="F144" s="22">
        <f t="shared" si="4"/>
        <v>-0.17288308531618823</v>
      </c>
      <c r="G144" s="9">
        <f t="shared" si="5"/>
        <v>0</v>
      </c>
    </row>
    <row r="145" spans="1:7" ht="15.5" x14ac:dyDescent="0.35">
      <c r="A145" s="1">
        <v>144</v>
      </c>
      <c r="B145" s="2"/>
      <c r="C145" s="25">
        <v>2020</v>
      </c>
      <c r="D145" s="9">
        <f>'RRST ACCRUAL'!I145</f>
        <v>-6.8480254442195368E-3</v>
      </c>
      <c r="E145" s="9">
        <f>'Financial Performance'!G145</f>
        <v>-3.2225663096190446E-2</v>
      </c>
      <c r="F145" s="22">
        <f t="shared" si="4"/>
        <v>-3.9073688540409983E-2</v>
      </c>
      <c r="G145" s="9">
        <f t="shared" si="5"/>
        <v>0</v>
      </c>
    </row>
    <row r="146" spans="1:7" ht="15.5" x14ac:dyDescent="0.35">
      <c r="A146" s="1">
        <v>145</v>
      </c>
      <c r="B146" s="2"/>
      <c r="C146" s="25">
        <v>2021</v>
      </c>
      <c r="D146" s="9">
        <f>'RRST ACCRUAL'!I146</f>
        <v>5.0832887875138823E-2</v>
      </c>
      <c r="E146" s="9">
        <f>'Financial Performance'!G146</f>
        <v>8.5272819051583876E-2</v>
      </c>
      <c r="F146" s="22">
        <f t="shared" si="4"/>
        <v>0.13610570692672269</v>
      </c>
      <c r="G146" s="9">
        <f t="shared" si="5"/>
        <v>0</v>
      </c>
    </row>
    <row r="147" spans="1:7" ht="15.5" x14ac:dyDescent="0.35">
      <c r="A147" s="1">
        <v>146</v>
      </c>
      <c r="B147" s="2" t="s">
        <v>87</v>
      </c>
      <c r="C147" s="25">
        <v>2017</v>
      </c>
      <c r="D147" s="9">
        <f>'RRST ACCRUAL'!I147</f>
        <v>0</v>
      </c>
      <c r="E147" s="9" t="e">
        <f>'Financial Performance'!G147</f>
        <v>#DIV/0!</v>
      </c>
      <c r="F147" s="22" t="e">
        <f t="shared" si="4"/>
        <v>#DIV/0!</v>
      </c>
      <c r="G147" s="9" t="e">
        <f t="shared" si="5"/>
        <v>#DIV/0!</v>
      </c>
    </row>
    <row r="148" spans="1:7" ht="15.5" x14ac:dyDescent="0.35">
      <c r="A148" s="1">
        <v>147</v>
      </c>
      <c r="B148" s="2"/>
      <c r="C148" s="25">
        <v>2018</v>
      </c>
      <c r="D148" s="9">
        <f>'RRST ACCRUAL'!I148</f>
        <v>-0.41473781121771736</v>
      </c>
      <c r="E148" s="9">
        <f>'Financial Performance'!G148</f>
        <v>0.15998053705219931</v>
      </c>
      <c r="F148" s="22">
        <f t="shared" si="4"/>
        <v>-0.25475727416551808</v>
      </c>
      <c r="G148" s="9">
        <f t="shared" si="5"/>
        <v>0</v>
      </c>
    </row>
    <row r="149" spans="1:7" ht="15.5" x14ac:dyDescent="0.35">
      <c r="A149" s="1">
        <v>148</v>
      </c>
      <c r="B149" s="2"/>
      <c r="C149" s="25">
        <v>2019</v>
      </c>
      <c r="D149" s="9">
        <f>'RRST ACCRUAL'!I149</f>
        <v>0.11418636522856812</v>
      </c>
      <c r="E149" s="9">
        <f>'Financial Performance'!G149</f>
        <v>-6.1681699432645128E-3</v>
      </c>
      <c r="F149" s="22">
        <f t="shared" si="4"/>
        <v>0.10801819528530361</v>
      </c>
      <c r="G149" s="9">
        <f t="shared" si="5"/>
        <v>0</v>
      </c>
    </row>
    <row r="150" spans="1:7" ht="15.5" x14ac:dyDescent="0.35">
      <c r="A150" s="1">
        <v>149</v>
      </c>
      <c r="B150" s="2"/>
      <c r="C150" s="25">
        <v>2020</v>
      </c>
      <c r="D150" s="9">
        <f>'RRST ACCRUAL'!I150</f>
        <v>-7.0096391478328426E-2</v>
      </c>
      <c r="E150" s="9">
        <f>'Financial Performance'!G150</f>
        <v>-0.10235228188809213</v>
      </c>
      <c r="F150" s="22">
        <f t="shared" si="4"/>
        <v>-0.17244867336642056</v>
      </c>
      <c r="G150" s="9">
        <f t="shared" si="5"/>
        <v>0</v>
      </c>
    </row>
    <row r="151" spans="1:7" ht="15.5" x14ac:dyDescent="0.35">
      <c r="A151" s="1">
        <v>150</v>
      </c>
      <c r="B151" s="2"/>
      <c r="C151" s="25">
        <v>2021</v>
      </c>
      <c r="D151" s="9">
        <f>'RRST ACCRUAL'!I151</f>
        <v>0.32529940692279191</v>
      </c>
      <c r="E151" s="9">
        <f>'Financial Performance'!G151</f>
        <v>0.64027235522839709</v>
      </c>
      <c r="F151" s="22">
        <f t="shared" si="4"/>
        <v>0.96557176215118901</v>
      </c>
      <c r="G151" s="9">
        <f t="shared" si="5"/>
        <v>0</v>
      </c>
    </row>
    <row r="152" spans="1:7" ht="15.5" x14ac:dyDescent="0.35">
      <c r="A152" s="1">
        <v>151</v>
      </c>
      <c r="B152" s="2" t="s">
        <v>88</v>
      </c>
      <c r="C152" s="25">
        <v>2017</v>
      </c>
      <c r="D152" s="9">
        <f>'RRST ACCRUAL'!I152</f>
        <v>0</v>
      </c>
      <c r="E152" s="9" t="e">
        <f>'Financial Performance'!G152</f>
        <v>#DIV/0!</v>
      </c>
      <c r="F152" s="22" t="e">
        <f t="shared" si="4"/>
        <v>#DIV/0!</v>
      </c>
      <c r="G152" s="9" t="e">
        <f t="shared" si="5"/>
        <v>#DIV/0!</v>
      </c>
    </row>
    <row r="153" spans="1:7" ht="15.5" x14ac:dyDescent="0.35">
      <c r="A153" s="1">
        <v>152</v>
      </c>
      <c r="B153" s="2"/>
      <c r="C153" s="25">
        <v>2018</v>
      </c>
      <c r="D153" s="9">
        <f>'RRST ACCRUAL'!I153</f>
        <v>-3.2934638173677026E-2</v>
      </c>
      <c r="E153" s="9">
        <f>'Financial Performance'!G153</f>
        <v>9.3593652464231972E-2</v>
      </c>
      <c r="F153" s="22">
        <f t="shared" si="4"/>
        <v>6.0659014290554945E-2</v>
      </c>
      <c r="G153" s="9">
        <f t="shared" si="5"/>
        <v>0</v>
      </c>
    </row>
    <row r="154" spans="1:7" ht="15.5" x14ac:dyDescent="0.35">
      <c r="A154" s="1">
        <v>153</v>
      </c>
      <c r="B154" s="2"/>
      <c r="C154" s="25">
        <v>2019</v>
      </c>
      <c r="D154" s="9">
        <f>'RRST ACCRUAL'!I154</f>
        <v>1.7923792992061691E-3</v>
      </c>
      <c r="E154" s="9">
        <f>'Financial Performance'!G154</f>
        <v>0.18607228342857149</v>
      </c>
      <c r="F154" s="22">
        <f t="shared" si="4"/>
        <v>0.18786466272777766</v>
      </c>
      <c r="G154" s="9">
        <f t="shared" si="5"/>
        <v>0</v>
      </c>
    </row>
    <row r="155" spans="1:7" ht="15.5" x14ac:dyDescent="0.35">
      <c r="A155" s="1">
        <v>154</v>
      </c>
      <c r="B155" s="2"/>
      <c r="C155" s="25">
        <v>2020</v>
      </c>
      <c r="D155" s="9">
        <f>'RRST ACCRUAL'!I155</f>
        <v>-0.10692473590609602</v>
      </c>
      <c r="E155" s="9">
        <f>'Financial Performance'!G155</f>
        <v>1.7232731376956297E-2</v>
      </c>
      <c r="F155" s="22">
        <f t="shared" si="4"/>
        <v>-8.9692004529139724E-2</v>
      </c>
      <c r="G155" s="9">
        <f t="shared" si="5"/>
        <v>0</v>
      </c>
    </row>
    <row r="156" spans="1:7" ht="15.5" x14ac:dyDescent="0.35">
      <c r="A156" s="1">
        <v>155</v>
      </c>
      <c r="B156" s="2"/>
      <c r="C156" s="25">
        <v>2021</v>
      </c>
      <c r="D156" s="9">
        <f>'RRST ACCRUAL'!I156</f>
        <v>-9.8303841929995431E-2</v>
      </c>
      <c r="E156" s="9">
        <f>'Financial Performance'!G156</f>
        <v>4.5255261339427588E-2</v>
      </c>
      <c r="F156" s="22">
        <f t="shared" si="4"/>
        <v>-5.3048580590567843E-2</v>
      </c>
      <c r="G156" s="9">
        <f t="shared" si="5"/>
        <v>0</v>
      </c>
    </row>
    <row r="157" spans="1:7" ht="15.5" x14ac:dyDescent="0.35">
      <c r="A157" s="1">
        <v>156</v>
      </c>
      <c r="B157" s="2" t="s">
        <v>89</v>
      </c>
      <c r="C157" s="25">
        <v>2017</v>
      </c>
      <c r="D157" s="9">
        <f>'RRST ACCRUAL'!I157</f>
        <v>0</v>
      </c>
      <c r="E157" s="9" t="e">
        <f>'Financial Performance'!G157</f>
        <v>#DIV/0!</v>
      </c>
      <c r="F157" s="22" t="e">
        <f t="shared" si="4"/>
        <v>#DIV/0!</v>
      </c>
      <c r="G157" s="9" t="e">
        <f t="shared" si="5"/>
        <v>#DIV/0!</v>
      </c>
    </row>
    <row r="158" spans="1:7" ht="15.5" x14ac:dyDescent="0.35">
      <c r="A158" s="1">
        <v>157</v>
      </c>
      <c r="B158" s="2"/>
      <c r="C158" s="25">
        <v>2018</v>
      </c>
      <c r="D158" s="9">
        <f>'RRST ACCRUAL'!I158</f>
        <v>6.5090810429400875E-2</v>
      </c>
      <c r="E158" s="9">
        <f>'Financial Performance'!G158</f>
        <v>8.3665888613647099E-2</v>
      </c>
      <c r="F158" s="22">
        <f t="shared" si="4"/>
        <v>0.14875669904304797</v>
      </c>
      <c r="G158" s="9">
        <f t="shared" si="5"/>
        <v>0</v>
      </c>
    </row>
    <row r="159" spans="1:7" ht="15.5" x14ac:dyDescent="0.35">
      <c r="A159" s="1">
        <v>158</v>
      </c>
      <c r="B159" s="2"/>
      <c r="C159" s="25">
        <v>2019</v>
      </c>
      <c r="D159" s="9">
        <f>'RRST ACCRUAL'!I159</f>
        <v>1.1811767463297922E-2</v>
      </c>
      <c r="E159" s="9">
        <f>'Financial Performance'!G159</f>
        <v>-0.18097939579578903</v>
      </c>
      <c r="F159" s="22">
        <f t="shared" si="4"/>
        <v>-0.1691676283324911</v>
      </c>
      <c r="G159" s="9">
        <f t="shared" si="5"/>
        <v>0</v>
      </c>
    </row>
    <row r="160" spans="1:7" ht="15.5" x14ac:dyDescent="0.35">
      <c r="A160" s="1">
        <v>159</v>
      </c>
      <c r="B160" s="2"/>
      <c r="C160" s="25">
        <v>2020</v>
      </c>
      <c r="D160" s="9">
        <f>'RRST ACCRUAL'!I160</f>
        <v>-0.24031300162546584</v>
      </c>
      <c r="E160" s="9">
        <f>'Financial Performance'!G160</f>
        <v>-0.32347693794438026</v>
      </c>
      <c r="F160" s="22">
        <f t="shared" si="4"/>
        <v>-0.56378993956984613</v>
      </c>
      <c r="G160" s="9">
        <f t="shared" si="5"/>
        <v>0</v>
      </c>
    </row>
    <row r="161" spans="1:7" ht="15.5" x14ac:dyDescent="0.35">
      <c r="A161" s="1">
        <v>160</v>
      </c>
      <c r="B161" s="2"/>
      <c r="C161" s="25">
        <v>2021</v>
      </c>
      <c r="D161" s="9">
        <f>'RRST ACCRUAL'!I161</f>
        <v>0.1831653584070613</v>
      </c>
      <c r="E161" s="9">
        <f>'Financial Performance'!G161</f>
        <v>0.34791983479626137</v>
      </c>
      <c r="F161" s="22">
        <f t="shared" si="4"/>
        <v>0.5310851932033227</v>
      </c>
      <c r="G161" s="9">
        <f t="shared" si="5"/>
        <v>0</v>
      </c>
    </row>
    <row r="162" spans="1:7" ht="15.5" x14ac:dyDescent="0.35">
      <c r="A162" s="1">
        <v>166</v>
      </c>
      <c r="B162" s="2" t="s">
        <v>90</v>
      </c>
      <c r="C162" s="25">
        <v>2017</v>
      </c>
      <c r="D162" s="9">
        <f>'RRST ACCRUAL'!I162</f>
        <v>0</v>
      </c>
      <c r="E162" s="9" t="e">
        <f>'Financial Performance'!G162</f>
        <v>#DIV/0!</v>
      </c>
      <c r="F162" s="22" t="e">
        <f t="shared" si="4"/>
        <v>#DIV/0!</v>
      </c>
      <c r="G162" s="9" t="e">
        <f t="shared" si="5"/>
        <v>#DIV/0!</v>
      </c>
    </row>
    <row r="163" spans="1:7" ht="15.5" x14ac:dyDescent="0.35">
      <c r="A163" s="1">
        <v>167</v>
      </c>
      <c r="B163" s="2"/>
      <c r="C163" s="25">
        <v>2018</v>
      </c>
      <c r="D163" s="9">
        <f>'RRST ACCRUAL'!I163</f>
        <v>-2.284815038822718E-3</v>
      </c>
      <c r="E163" s="9">
        <f>'Financial Performance'!G163</f>
        <v>-0.10913065278270088</v>
      </c>
      <c r="F163" s="22">
        <f t="shared" si="4"/>
        <v>-0.1114154678215236</v>
      </c>
      <c r="G163" s="9">
        <f t="shared" si="5"/>
        <v>0</v>
      </c>
    </row>
    <row r="164" spans="1:7" ht="15.5" x14ac:dyDescent="0.35">
      <c r="A164" s="1">
        <v>168</v>
      </c>
      <c r="B164" s="2"/>
      <c r="C164" s="25">
        <v>2019</v>
      </c>
      <c r="D164" s="9">
        <f>'RRST ACCRUAL'!I164</f>
        <v>-0.14684688808803378</v>
      </c>
      <c r="E164" s="9">
        <f>'Financial Performance'!G164</f>
        <v>-1.9208657114058985E-2</v>
      </c>
      <c r="F164" s="22">
        <f t="shared" si="4"/>
        <v>-0.16605554520209276</v>
      </c>
      <c r="G164" s="9">
        <f t="shared" si="5"/>
        <v>0</v>
      </c>
    </row>
    <row r="165" spans="1:7" ht="15.5" x14ac:dyDescent="0.35">
      <c r="A165" s="1">
        <v>169</v>
      </c>
      <c r="B165" s="2"/>
      <c r="C165" s="25">
        <v>2020</v>
      </c>
      <c r="D165" s="9">
        <f>'RRST ACCRUAL'!I165</f>
        <v>-5.5284457913497134E-2</v>
      </c>
      <c r="E165" s="9">
        <f>'Financial Performance'!G165</f>
        <v>0.19636414811734584</v>
      </c>
      <c r="F165" s="22">
        <f t="shared" si="4"/>
        <v>0.1410796902038487</v>
      </c>
      <c r="G165" s="9">
        <f t="shared" si="5"/>
        <v>0</v>
      </c>
    </row>
    <row r="166" spans="1:7" ht="15.5" x14ac:dyDescent="0.35">
      <c r="A166" s="1">
        <v>170</v>
      </c>
      <c r="B166" s="2"/>
      <c r="C166" s="25">
        <v>2021</v>
      </c>
      <c r="D166" s="9">
        <f>'RRST ACCRUAL'!I166</f>
        <v>-0.15485531920427154</v>
      </c>
      <c r="E166" s="9">
        <f>'Financial Performance'!G166</f>
        <v>5.020858888181344E-2</v>
      </c>
      <c r="F166" s="22">
        <f t="shared" si="4"/>
        <v>-0.1046467303224581</v>
      </c>
      <c r="G166" s="9">
        <f t="shared" si="5"/>
        <v>0</v>
      </c>
    </row>
    <row r="167" spans="1:7" ht="15.5" x14ac:dyDescent="0.35">
      <c r="A167" s="1">
        <v>171</v>
      </c>
      <c r="B167" s="2" t="s">
        <v>91</v>
      </c>
      <c r="C167" s="25">
        <v>2017</v>
      </c>
      <c r="D167" s="9">
        <f>'RRST ACCRUAL'!I167</f>
        <v>0</v>
      </c>
      <c r="E167" s="9" t="e">
        <f>'Financial Performance'!G167</f>
        <v>#DIV/0!</v>
      </c>
      <c r="F167" s="22" t="e">
        <f t="shared" si="4"/>
        <v>#DIV/0!</v>
      </c>
      <c r="G167" s="9" t="e">
        <f t="shared" si="5"/>
        <v>#DIV/0!</v>
      </c>
    </row>
    <row r="168" spans="1:7" ht="15.5" x14ac:dyDescent="0.35">
      <c r="A168" s="1">
        <v>172</v>
      </c>
      <c r="B168" s="2"/>
      <c r="C168" s="25">
        <v>2018</v>
      </c>
      <c r="D168" s="9">
        <f>'RRST ACCRUAL'!I168</f>
        <v>0.17584131698156685</v>
      </c>
      <c r="E168" s="9">
        <f>'Financial Performance'!G168</f>
        <v>0.17788616026567239</v>
      </c>
      <c r="F168" s="22">
        <f t="shared" si="4"/>
        <v>0.35372747724723924</v>
      </c>
      <c r="G168" s="9">
        <f t="shared" si="5"/>
        <v>0</v>
      </c>
    </row>
    <row r="169" spans="1:7" ht="15.5" x14ac:dyDescent="0.35">
      <c r="A169" s="1">
        <v>173</v>
      </c>
      <c r="B169" s="2"/>
      <c r="C169" s="25">
        <v>2019</v>
      </c>
      <c r="D169" s="9">
        <f>'RRST ACCRUAL'!I169</f>
        <v>4.6481178388599172E-2</v>
      </c>
      <c r="E169" s="9">
        <f>'Financial Performance'!G169</f>
        <v>0.31122144288702552</v>
      </c>
      <c r="F169" s="22">
        <f t="shared" si="4"/>
        <v>0.35770262127562469</v>
      </c>
      <c r="G169" s="9">
        <f t="shared" si="5"/>
        <v>0</v>
      </c>
    </row>
    <row r="170" spans="1:7" ht="15.5" x14ac:dyDescent="0.35">
      <c r="A170" s="1">
        <v>174</v>
      </c>
      <c r="B170" s="2"/>
      <c r="C170" s="25">
        <v>2020</v>
      </c>
      <c r="D170" s="9">
        <f>'RRST ACCRUAL'!I170</f>
        <v>1.7870767844102187E-2</v>
      </c>
      <c r="E170" s="9">
        <f>'Financial Performance'!G170</f>
        <v>2.395188164881458E-2</v>
      </c>
      <c r="F170" s="22">
        <f t="shared" si="4"/>
        <v>4.1822649492916766E-2</v>
      </c>
      <c r="G170" s="9">
        <f t="shared" si="5"/>
        <v>0</v>
      </c>
    </row>
    <row r="171" spans="1:7" ht="15.5" x14ac:dyDescent="0.35">
      <c r="A171" s="1">
        <v>175</v>
      </c>
      <c r="B171" s="2"/>
      <c r="C171" s="25">
        <v>2021</v>
      </c>
      <c r="D171" s="9">
        <f>'RRST ACCRUAL'!I171</f>
        <v>0.37215537524920267</v>
      </c>
      <c r="E171" s="9">
        <f>'Financial Performance'!G171</f>
        <v>0.69379502038871066</v>
      </c>
      <c r="F171" s="22">
        <f t="shared" si="4"/>
        <v>1.0659503956379133</v>
      </c>
      <c r="G171" s="9">
        <f t="shared" si="5"/>
        <v>1</v>
      </c>
    </row>
    <row r="172" spans="1:7" ht="15.5" x14ac:dyDescent="0.35">
      <c r="A172" s="1">
        <v>176</v>
      </c>
      <c r="B172" s="2" t="s">
        <v>92</v>
      </c>
      <c r="C172" s="25">
        <v>2017</v>
      </c>
      <c r="D172" s="9">
        <f>'RRST ACCRUAL'!I172</f>
        <v>0</v>
      </c>
      <c r="E172" s="9" t="e">
        <f>'Financial Performance'!G172</f>
        <v>#DIV/0!</v>
      </c>
      <c r="F172" s="22" t="e">
        <f t="shared" si="4"/>
        <v>#DIV/0!</v>
      </c>
      <c r="G172" s="9" t="e">
        <f t="shared" si="5"/>
        <v>#DIV/0!</v>
      </c>
    </row>
    <row r="173" spans="1:7" x14ac:dyDescent="0.35">
      <c r="A173" s="1">
        <v>177</v>
      </c>
      <c r="B173" s="9"/>
      <c r="C173" s="25">
        <v>2018</v>
      </c>
      <c r="D173" s="9">
        <f>'RRST ACCRUAL'!I173</f>
        <v>-7.5716313632305798E-2</v>
      </c>
      <c r="E173" s="9">
        <f>'Financial Performance'!G173</f>
        <v>3.6590724699802485E-3</v>
      </c>
      <c r="F173" s="22">
        <f t="shared" si="4"/>
        <v>-7.205724116232555E-2</v>
      </c>
      <c r="G173" s="9">
        <f t="shared" si="5"/>
        <v>0</v>
      </c>
    </row>
    <row r="174" spans="1:7" x14ac:dyDescent="0.35">
      <c r="A174" s="1">
        <v>178</v>
      </c>
      <c r="B174" s="9"/>
      <c r="C174" s="25">
        <v>2019</v>
      </c>
      <c r="D174" s="9">
        <f>'RRST ACCRUAL'!I174</f>
        <v>-3.7476712466422376E-3</v>
      </c>
      <c r="E174" s="9">
        <f>'Financial Performance'!G174</f>
        <v>6.8594974249425983E-2</v>
      </c>
      <c r="F174" s="22">
        <f t="shared" si="4"/>
        <v>6.484730300278374E-2</v>
      </c>
      <c r="G174" s="9">
        <f t="shared" si="5"/>
        <v>0</v>
      </c>
    </row>
    <row r="175" spans="1:7" x14ac:dyDescent="0.35">
      <c r="A175" s="1">
        <v>179</v>
      </c>
      <c r="B175" s="9"/>
      <c r="C175" s="25">
        <v>2020</v>
      </c>
      <c r="D175" s="9">
        <f>'RRST ACCRUAL'!I175</f>
        <v>-9.7247738562580455E-2</v>
      </c>
      <c r="E175" s="9">
        <f>'Financial Performance'!G175</f>
        <v>8.7916938073909684E-2</v>
      </c>
      <c r="F175" s="22">
        <f t="shared" si="4"/>
        <v>-9.3308004886707707E-3</v>
      </c>
      <c r="G175" s="9">
        <f t="shared" si="5"/>
        <v>0</v>
      </c>
    </row>
    <row r="176" spans="1:7" x14ac:dyDescent="0.35">
      <c r="A176" s="1">
        <v>180</v>
      </c>
      <c r="B176" s="9"/>
      <c r="C176" s="25">
        <v>2021</v>
      </c>
      <c r="D176" s="9">
        <f>'RRST ACCRUAL'!I176</f>
        <v>-1.4175031962989963E-2</v>
      </c>
      <c r="E176" s="9">
        <f>'Financial Performance'!G176</f>
        <v>5.4027386702106328E-2</v>
      </c>
      <c r="F176" s="22">
        <f t="shared" si="4"/>
        <v>3.9852354739116365E-2</v>
      </c>
      <c r="G176" s="9">
        <f t="shared" si="5"/>
        <v>0</v>
      </c>
    </row>
  </sheetData>
  <mergeCells count="20">
    <mergeCell ref="B97:B101"/>
    <mergeCell ref="B47:B51"/>
    <mergeCell ref="B52:B56"/>
    <mergeCell ref="B57:B61"/>
    <mergeCell ref="B62:B66"/>
    <mergeCell ref="B92:B96"/>
    <mergeCell ref="B72:B76"/>
    <mergeCell ref="B77:B81"/>
    <mergeCell ref="B82:B86"/>
    <mergeCell ref="B87:B91"/>
    <mergeCell ref="B2:B6"/>
    <mergeCell ref="B7:B11"/>
    <mergeCell ref="B12:B16"/>
    <mergeCell ref="B17:B21"/>
    <mergeCell ref="B22:B26"/>
    <mergeCell ref="B27:B31"/>
    <mergeCell ref="B32:B36"/>
    <mergeCell ref="B37:B41"/>
    <mergeCell ref="B42:B46"/>
    <mergeCell ref="B67:B71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F96D-BF89-4FEA-A27C-E5615EFB365F}">
  <dimension ref="A1:F142"/>
  <sheetViews>
    <sheetView workbookViewId="0">
      <selection activeCell="D3" sqref="D3"/>
    </sheetView>
  </sheetViews>
  <sheetFormatPr defaultRowHeight="14.5" x14ac:dyDescent="0.35"/>
  <cols>
    <col min="4" max="5" width="21.36328125" bestFit="1" customWidth="1"/>
    <col min="6" max="6" width="9.08984375" bestFit="1" customWidth="1"/>
  </cols>
  <sheetData>
    <row r="1" spans="1:6" x14ac:dyDescent="0.35">
      <c r="A1" s="1" t="s">
        <v>0</v>
      </c>
      <c r="B1" s="1" t="s">
        <v>114</v>
      </c>
      <c r="C1" s="1" t="s">
        <v>2</v>
      </c>
      <c r="D1" s="50" t="s">
        <v>115</v>
      </c>
      <c r="E1" s="50" t="s">
        <v>116</v>
      </c>
      <c r="F1" s="1" t="s">
        <v>66</v>
      </c>
    </row>
    <row r="2" spans="1:6" x14ac:dyDescent="0.35">
      <c r="A2" s="1"/>
      <c r="B2" s="1"/>
      <c r="C2" s="1"/>
      <c r="D2" s="50"/>
      <c r="E2" s="50"/>
      <c r="F2" s="1" t="s">
        <v>98</v>
      </c>
    </row>
    <row r="3" spans="1:6" x14ac:dyDescent="0.35">
      <c r="A3" s="1">
        <v>1</v>
      </c>
      <c r="B3" s="70" t="s">
        <v>117</v>
      </c>
      <c r="C3" s="1">
        <v>2018</v>
      </c>
      <c r="D3" s="3">
        <v>478439333039</v>
      </c>
      <c r="E3" s="3">
        <v>446108163202</v>
      </c>
      <c r="F3" s="51">
        <f>(D3-E3)/E3</f>
        <v>7.2473835952560864E-2</v>
      </c>
    </row>
    <row r="4" spans="1:6" x14ac:dyDescent="0.35">
      <c r="A4" s="1">
        <v>2</v>
      </c>
      <c r="B4" s="70"/>
      <c r="C4" s="1">
        <v>2019</v>
      </c>
      <c r="D4" s="3">
        <v>447670324778</v>
      </c>
      <c r="E4" s="3">
        <v>478439333039</v>
      </c>
      <c r="F4" s="51">
        <f t="shared" ref="F4:F67" si="0">(D4-E4)/E4</f>
        <v>-6.4311201308550989E-2</v>
      </c>
    </row>
    <row r="5" spans="1:6" x14ac:dyDescent="0.35">
      <c r="A5" s="1">
        <v>3</v>
      </c>
      <c r="B5" s="70"/>
      <c r="C5" s="1">
        <v>2020</v>
      </c>
      <c r="D5" s="3">
        <v>365763908254</v>
      </c>
      <c r="E5" s="3">
        <v>447670324778</v>
      </c>
      <c r="F5" s="51">
        <f t="shared" si="0"/>
        <v>-0.1829614606789437</v>
      </c>
    </row>
    <row r="6" spans="1:6" x14ac:dyDescent="0.35">
      <c r="A6" s="1">
        <v>4</v>
      </c>
      <c r="B6" s="70"/>
      <c r="C6" s="1">
        <v>2021</v>
      </c>
      <c r="D6" s="3">
        <v>527852244647</v>
      </c>
      <c r="E6" s="3">
        <v>365763908254</v>
      </c>
      <c r="F6" s="51">
        <f t="shared" si="0"/>
        <v>0.44315016527119966</v>
      </c>
    </row>
    <row r="7" spans="1:6" x14ac:dyDescent="0.35">
      <c r="A7" s="1">
        <v>5</v>
      </c>
      <c r="B7" s="71" t="s">
        <v>4</v>
      </c>
      <c r="C7" s="1">
        <v>2018</v>
      </c>
      <c r="D7" s="3">
        <v>969866560976</v>
      </c>
      <c r="E7" s="3">
        <v>858490283480</v>
      </c>
      <c r="F7" s="51">
        <f t="shared" si="0"/>
        <v>0.12973504725588977</v>
      </c>
    </row>
    <row r="8" spans="1:6" x14ac:dyDescent="0.35">
      <c r="A8" s="1">
        <v>6</v>
      </c>
      <c r="B8" s="71"/>
      <c r="C8" s="1">
        <v>2019</v>
      </c>
      <c r="D8" s="3">
        <v>975687462693</v>
      </c>
      <c r="E8" s="3">
        <v>969866560976</v>
      </c>
      <c r="F8" s="51">
        <f t="shared" si="0"/>
        <v>6.0017552426410974E-3</v>
      </c>
    </row>
    <row r="9" spans="1:6" x14ac:dyDescent="0.35">
      <c r="A9" s="1">
        <v>7</v>
      </c>
      <c r="B9" s="71"/>
      <c r="C9" s="1">
        <v>2020</v>
      </c>
      <c r="D9" s="3">
        <v>990991744064</v>
      </c>
      <c r="E9" s="3">
        <v>975687462693</v>
      </c>
      <c r="F9" s="51">
        <f t="shared" si="0"/>
        <v>1.5685639055726487E-2</v>
      </c>
    </row>
    <row r="10" spans="1:6" x14ac:dyDescent="0.35">
      <c r="A10" s="1">
        <v>8</v>
      </c>
      <c r="B10" s="71"/>
      <c r="C10" s="1">
        <v>2021</v>
      </c>
      <c r="D10" s="3">
        <v>981089572950</v>
      </c>
      <c r="E10" s="3">
        <v>990991744064</v>
      </c>
      <c r="F10" s="51">
        <f t="shared" si="0"/>
        <v>-9.9921832581488183E-3</v>
      </c>
    </row>
    <row r="11" spans="1:6" x14ac:dyDescent="0.35">
      <c r="A11" s="1">
        <v>9</v>
      </c>
      <c r="B11" s="71" t="s">
        <v>5</v>
      </c>
      <c r="C11" s="1">
        <v>2018</v>
      </c>
      <c r="D11" s="3">
        <v>808572011000000</v>
      </c>
      <c r="E11" s="3">
        <v>709330084000000</v>
      </c>
      <c r="F11" s="51">
        <f t="shared" si="0"/>
        <v>0.13990937257357325</v>
      </c>
    </row>
    <row r="12" spans="1:6" x14ac:dyDescent="0.35">
      <c r="A12" s="1">
        <v>10</v>
      </c>
      <c r="B12" s="71"/>
      <c r="C12" s="1">
        <v>2019</v>
      </c>
      <c r="D12" s="3">
        <v>845605208000000</v>
      </c>
      <c r="E12" s="3">
        <v>808572011000000</v>
      </c>
      <c r="F12" s="51">
        <f t="shared" si="0"/>
        <v>4.5800740683812763E-2</v>
      </c>
    </row>
    <row r="13" spans="1:6" x14ac:dyDescent="0.35">
      <c r="A13" s="1">
        <v>11</v>
      </c>
      <c r="B13" s="71"/>
      <c r="C13" s="1">
        <v>2020</v>
      </c>
      <c r="D13" s="3">
        <v>891337425000000</v>
      </c>
      <c r="E13" s="3">
        <v>845605208000000</v>
      </c>
      <c r="F13" s="51">
        <f t="shared" si="0"/>
        <v>5.4082231953330166E-2</v>
      </c>
    </row>
    <row r="14" spans="1:6" x14ac:dyDescent="0.35">
      <c r="A14" s="1">
        <v>12</v>
      </c>
      <c r="B14" s="71"/>
      <c r="C14" s="1">
        <v>2021</v>
      </c>
      <c r="D14" s="3">
        <v>964837692000000</v>
      </c>
      <c r="E14" s="3">
        <v>891337425000000</v>
      </c>
      <c r="F14" s="51">
        <f t="shared" si="0"/>
        <v>8.2460653999802597E-2</v>
      </c>
    </row>
    <row r="15" spans="1:6" x14ac:dyDescent="0.35">
      <c r="A15" s="1">
        <v>13</v>
      </c>
      <c r="B15" s="71" t="s">
        <v>6</v>
      </c>
      <c r="C15" s="1">
        <v>2018</v>
      </c>
      <c r="D15" s="3">
        <v>306436194000000</v>
      </c>
      <c r="E15" s="3">
        <v>261365267000000</v>
      </c>
      <c r="F15" s="51">
        <f t="shared" si="0"/>
        <v>0.1724442100411146</v>
      </c>
    </row>
    <row r="16" spans="1:6" x14ac:dyDescent="0.35">
      <c r="A16" s="1">
        <v>14</v>
      </c>
      <c r="B16" s="71"/>
      <c r="C16" s="1">
        <v>2019</v>
      </c>
      <c r="D16" s="3">
        <v>311776828000000</v>
      </c>
      <c r="E16" s="3">
        <v>306436194000000</v>
      </c>
      <c r="F16" s="51">
        <f t="shared" si="0"/>
        <v>1.7428208888405655E-2</v>
      </c>
    </row>
    <row r="17" spans="1:6" x14ac:dyDescent="0.35">
      <c r="A17" s="1">
        <v>15</v>
      </c>
      <c r="B17" s="71"/>
      <c r="C17" s="1">
        <v>2020</v>
      </c>
      <c r="D17" s="3">
        <v>361208406000000</v>
      </c>
      <c r="E17" s="3">
        <v>311776828000000</v>
      </c>
      <c r="F17" s="51">
        <f t="shared" si="0"/>
        <v>0.15854795340980249</v>
      </c>
    </row>
    <row r="18" spans="1:6" x14ac:dyDescent="0.35">
      <c r="A18" s="1">
        <v>16</v>
      </c>
      <c r="B18" s="71"/>
      <c r="C18" s="1">
        <v>2021</v>
      </c>
      <c r="D18" s="3">
        <v>371868311000000</v>
      </c>
      <c r="E18" s="3">
        <v>361208406000000</v>
      </c>
      <c r="F18" s="51">
        <f t="shared" si="0"/>
        <v>2.9511785503685096E-2</v>
      </c>
    </row>
    <row r="19" spans="1:6" x14ac:dyDescent="0.35">
      <c r="A19" s="1">
        <v>17</v>
      </c>
      <c r="B19" s="71" t="s">
        <v>7</v>
      </c>
      <c r="C19" s="1">
        <v>2018</v>
      </c>
      <c r="D19" s="3">
        <v>18762724000000</v>
      </c>
      <c r="E19" s="3">
        <v>19883263000000</v>
      </c>
      <c r="F19" s="51">
        <f t="shared" si="0"/>
        <v>-5.6355890881692808E-2</v>
      </c>
    </row>
    <row r="20" spans="1:6" x14ac:dyDescent="0.35">
      <c r="A20" s="1">
        <v>18</v>
      </c>
      <c r="B20" s="71"/>
      <c r="C20" s="1">
        <v>2019</v>
      </c>
      <c r="D20" s="3">
        <v>18385005000000</v>
      </c>
      <c r="E20" s="3">
        <v>18762724000000</v>
      </c>
      <c r="F20" s="51">
        <f t="shared" si="0"/>
        <v>-2.0131351929495951E-2</v>
      </c>
    </row>
    <row r="21" spans="1:6" x14ac:dyDescent="0.35">
      <c r="A21" s="1">
        <v>19</v>
      </c>
      <c r="B21" s="71"/>
      <c r="C21" s="1">
        <v>2020</v>
      </c>
      <c r="D21" s="3">
        <v>19101546000000</v>
      </c>
      <c r="E21" s="3">
        <v>18385005000000</v>
      </c>
      <c r="F21" s="51">
        <f t="shared" si="0"/>
        <v>3.8974207513133664E-2</v>
      </c>
    </row>
    <row r="22" spans="1:6" x14ac:dyDescent="0.35">
      <c r="A22" s="1">
        <v>20</v>
      </c>
      <c r="B22" s="71"/>
      <c r="C22" s="1">
        <v>2021</v>
      </c>
      <c r="D22" s="3">
        <v>21653968000000</v>
      </c>
      <c r="E22" s="3">
        <v>19101546000000</v>
      </c>
      <c r="F22" s="51">
        <f t="shared" si="0"/>
        <v>0.13362384385012605</v>
      </c>
    </row>
    <row r="23" spans="1:6" x14ac:dyDescent="0.35">
      <c r="A23" s="1">
        <v>21</v>
      </c>
      <c r="B23" s="71" t="s">
        <v>8</v>
      </c>
      <c r="C23" s="1">
        <v>2018</v>
      </c>
      <c r="D23" s="3">
        <v>186762189000000</v>
      </c>
      <c r="E23" s="3">
        <v>178257092000000</v>
      </c>
      <c r="F23" s="51">
        <f t="shared" si="0"/>
        <v>4.7712530842812136E-2</v>
      </c>
    </row>
    <row r="24" spans="1:6" x14ac:dyDescent="0.35">
      <c r="A24" s="1">
        <v>22</v>
      </c>
      <c r="B24" s="71"/>
      <c r="C24" s="1">
        <v>2019</v>
      </c>
      <c r="D24" s="3">
        <v>193533970000000</v>
      </c>
      <c r="E24" s="3">
        <v>186762189000000</v>
      </c>
      <c r="F24" s="51">
        <f t="shared" si="0"/>
        <v>3.6258843592800252E-2</v>
      </c>
    </row>
    <row r="25" spans="1:6" x14ac:dyDescent="0.35">
      <c r="A25" s="1">
        <v>23</v>
      </c>
      <c r="B25" s="71"/>
      <c r="C25" s="1">
        <v>2020</v>
      </c>
      <c r="D25" s="3">
        <v>200890068000000</v>
      </c>
      <c r="E25" s="3">
        <v>193533970000000</v>
      </c>
      <c r="F25" s="51">
        <f t="shared" si="0"/>
        <v>3.8009337585541182E-2</v>
      </c>
    </row>
    <row r="26" spans="1:6" x14ac:dyDescent="0.35">
      <c r="A26" s="1">
        <v>24</v>
      </c>
      <c r="B26" s="71"/>
      <c r="C26" s="1">
        <v>2021</v>
      </c>
      <c r="D26" s="3">
        <v>192239698000000</v>
      </c>
      <c r="E26" s="3">
        <v>200890068000000</v>
      </c>
      <c r="F26" s="51">
        <f t="shared" si="0"/>
        <v>-4.3060217392131103E-2</v>
      </c>
    </row>
    <row r="27" spans="1:6" x14ac:dyDescent="0.35">
      <c r="A27" s="1">
        <v>25</v>
      </c>
      <c r="B27" s="71" t="s">
        <v>9</v>
      </c>
      <c r="C27" s="1">
        <v>2018</v>
      </c>
      <c r="D27" s="3">
        <v>19117305000000</v>
      </c>
      <c r="E27" s="3">
        <v>16483273000000</v>
      </c>
      <c r="F27" s="51">
        <f t="shared" si="0"/>
        <v>0.15980030179685795</v>
      </c>
    </row>
    <row r="28" spans="1:6" x14ac:dyDescent="0.35">
      <c r="A28" s="1">
        <v>26</v>
      </c>
      <c r="B28" s="71"/>
      <c r="C28" s="1">
        <v>2019</v>
      </c>
      <c r="D28" s="3">
        <v>19089633000000</v>
      </c>
      <c r="E28" s="3">
        <v>19117305000000</v>
      </c>
      <c r="F28" s="51">
        <f t="shared" si="0"/>
        <v>-1.4474843603740171E-3</v>
      </c>
    </row>
    <row r="29" spans="1:6" x14ac:dyDescent="0.35">
      <c r="A29" s="1">
        <v>27</v>
      </c>
      <c r="B29" s="71"/>
      <c r="C29" s="1">
        <v>2020</v>
      </c>
      <c r="D29" s="3">
        <v>15200531000000</v>
      </c>
      <c r="E29" s="3">
        <v>19089633000000</v>
      </c>
      <c r="F29" s="51">
        <f t="shared" si="0"/>
        <v>-0.20372848446064939</v>
      </c>
    </row>
    <row r="30" spans="1:6" x14ac:dyDescent="0.35">
      <c r="A30" s="1">
        <v>28</v>
      </c>
      <c r="B30" s="71"/>
      <c r="C30" s="1">
        <v>2021</v>
      </c>
      <c r="D30" s="3">
        <v>15635739000000</v>
      </c>
      <c r="E30" s="3">
        <v>15200531000000</v>
      </c>
      <c r="F30" s="51">
        <f t="shared" si="0"/>
        <v>2.8631105058106194E-2</v>
      </c>
    </row>
    <row r="31" spans="1:6" x14ac:dyDescent="0.35">
      <c r="A31" s="1">
        <v>29</v>
      </c>
      <c r="B31" s="71" t="s">
        <v>10</v>
      </c>
      <c r="C31" s="1">
        <v>2018</v>
      </c>
      <c r="D31" s="3">
        <v>266781498000000</v>
      </c>
      <c r="E31" s="3">
        <v>266305455000000</v>
      </c>
      <c r="F31" s="51">
        <f t="shared" si="0"/>
        <v>1.7875826088504271E-3</v>
      </c>
    </row>
    <row r="32" spans="1:6" x14ac:dyDescent="0.35">
      <c r="A32" s="1">
        <v>30</v>
      </c>
      <c r="B32" s="71"/>
      <c r="C32" s="1">
        <v>2019</v>
      </c>
      <c r="D32" s="3">
        <v>274467227000000</v>
      </c>
      <c r="E32" s="3">
        <v>266781498000000</v>
      </c>
      <c r="F32" s="51">
        <f t="shared" si="0"/>
        <v>2.8809078056829862E-2</v>
      </c>
    </row>
    <row r="33" spans="1:6" x14ac:dyDescent="0.35">
      <c r="A33" s="1">
        <v>31</v>
      </c>
      <c r="B33" s="71"/>
      <c r="C33" s="1">
        <v>2020</v>
      </c>
      <c r="D33" s="3">
        <v>280943605000000</v>
      </c>
      <c r="E33" s="3">
        <v>274467227000000</v>
      </c>
      <c r="F33" s="51">
        <f t="shared" si="0"/>
        <v>2.3596179663373799E-2</v>
      </c>
    </row>
    <row r="34" spans="1:6" x14ac:dyDescent="0.35">
      <c r="A34" s="1">
        <v>32</v>
      </c>
      <c r="B34" s="71"/>
      <c r="C34" s="1">
        <v>2021</v>
      </c>
      <c r="D34" s="3">
        <v>310786960000000</v>
      </c>
      <c r="E34" s="3">
        <v>280943605000000</v>
      </c>
      <c r="F34" s="51">
        <f t="shared" si="0"/>
        <v>0.10622542912126438</v>
      </c>
    </row>
    <row r="35" spans="1:6" x14ac:dyDescent="0.35">
      <c r="A35" s="1">
        <v>33</v>
      </c>
      <c r="B35" s="71" t="s">
        <v>11</v>
      </c>
      <c r="C35" s="1">
        <v>2018</v>
      </c>
      <c r="D35" s="3">
        <v>177532858000000</v>
      </c>
      <c r="E35" s="3">
        <v>173253491000000</v>
      </c>
      <c r="F35" s="51">
        <f t="shared" si="0"/>
        <v>2.4700033317077576E-2</v>
      </c>
    </row>
    <row r="36" spans="1:6" x14ac:dyDescent="0.35">
      <c r="A36" s="1">
        <v>34</v>
      </c>
      <c r="B36" s="71"/>
      <c r="C36" s="1">
        <v>2019</v>
      </c>
      <c r="D36" s="3">
        <v>169082830000000</v>
      </c>
      <c r="E36" s="3">
        <v>177532858000000</v>
      </c>
      <c r="F36" s="51">
        <f t="shared" si="0"/>
        <v>-4.7596980610766712E-2</v>
      </c>
    </row>
    <row r="37" spans="1:6" x14ac:dyDescent="0.35">
      <c r="A37" s="1">
        <v>35</v>
      </c>
      <c r="B37" s="71"/>
      <c r="C37" s="1">
        <v>2020</v>
      </c>
      <c r="D37" s="3">
        <v>173224412000000</v>
      </c>
      <c r="E37" s="3">
        <v>169082830000000</v>
      </c>
      <c r="F37" s="51">
        <f t="shared" si="0"/>
        <v>2.4494397213484065E-2</v>
      </c>
    </row>
    <row r="38" spans="1:6" x14ac:dyDescent="0.35">
      <c r="A38" s="1">
        <v>36</v>
      </c>
      <c r="B38" s="71"/>
      <c r="C38" s="1">
        <v>2021</v>
      </c>
      <c r="D38" s="3">
        <v>168758476000000</v>
      </c>
      <c r="E38" s="3">
        <v>173224412000000</v>
      </c>
      <c r="F38" s="51">
        <f t="shared" si="0"/>
        <v>-2.5781216102497145E-2</v>
      </c>
    </row>
    <row r="39" spans="1:6" x14ac:dyDescent="0.35">
      <c r="A39" s="1">
        <v>37</v>
      </c>
      <c r="B39" s="71" t="s">
        <v>12</v>
      </c>
      <c r="C39" s="1">
        <v>2018</v>
      </c>
      <c r="D39" s="3">
        <v>152892866000000</v>
      </c>
      <c r="E39" s="3">
        <v>148328370000000</v>
      </c>
      <c r="F39" s="51">
        <f t="shared" si="0"/>
        <v>3.077291282847644E-2</v>
      </c>
    </row>
    <row r="40" spans="1:6" x14ac:dyDescent="0.35">
      <c r="A40" s="1">
        <v>38</v>
      </c>
      <c r="B40" s="71"/>
      <c r="C40" s="1">
        <v>2019</v>
      </c>
      <c r="D40" s="3">
        <v>161451259000000</v>
      </c>
      <c r="E40" s="3">
        <v>152892866000000</v>
      </c>
      <c r="F40" s="51">
        <f t="shared" si="0"/>
        <v>5.5976405073079077E-2</v>
      </c>
    </row>
    <row r="41" spans="1:6" x14ac:dyDescent="0.35">
      <c r="A41" s="1">
        <v>39</v>
      </c>
      <c r="B41" s="71"/>
      <c r="C41" s="1">
        <v>2020</v>
      </c>
      <c r="D41" s="3">
        <v>197726097000000</v>
      </c>
      <c r="E41" s="3">
        <v>161451259000000</v>
      </c>
      <c r="F41" s="51">
        <f t="shared" si="0"/>
        <v>0.22467980878365279</v>
      </c>
    </row>
    <row r="42" spans="1:6" x14ac:dyDescent="0.35">
      <c r="A42" s="1">
        <v>40</v>
      </c>
      <c r="B42" s="71"/>
      <c r="C42" s="1">
        <v>2021</v>
      </c>
      <c r="D42" s="3">
        <v>234379042000000</v>
      </c>
      <c r="E42" s="3">
        <v>197726097000000</v>
      </c>
      <c r="F42" s="51">
        <f t="shared" si="0"/>
        <v>0.18537231835411186</v>
      </c>
    </row>
    <row r="43" spans="1:6" x14ac:dyDescent="0.35">
      <c r="A43" s="1">
        <v>41</v>
      </c>
      <c r="B43" s="71" t="s">
        <v>13</v>
      </c>
      <c r="C43" s="1">
        <v>2018</v>
      </c>
      <c r="D43" s="3">
        <v>31496441000000</v>
      </c>
      <c r="E43" s="3">
        <v>29492933000000</v>
      </c>
      <c r="F43" s="51">
        <f t="shared" si="0"/>
        <v>6.7931799119470421E-2</v>
      </c>
    </row>
    <row r="44" spans="1:6" x14ac:dyDescent="0.35">
      <c r="A44" s="1">
        <v>42</v>
      </c>
      <c r="B44" s="71"/>
      <c r="C44" s="1">
        <v>2019</v>
      </c>
      <c r="D44" s="3">
        <v>35116853000000</v>
      </c>
      <c r="E44" s="3">
        <v>31496441000000</v>
      </c>
      <c r="F44" s="51">
        <f t="shared" si="0"/>
        <v>0.11494670143842602</v>
      </c>
    </row>
    <row r="45" spans="1:6" x14ac:dyDescent="0.35">
      <c r="A45" s="1">
        <v>43</v>
      </c>
      <c r="B45" s="71"/>
      <c r="C45" s="1">
        <v>2020</v>
      </c>
      <c r="D45" s="3">
        <v>29230513000000</v>
      </c>
      <c r="E45" s="3">
        <v>35116853000000</v>
      </c>
      <c r="F45" s="51">
        <f t="shared" si="0"/>
        <v>-0.16762151209847875</v>
      </c>
    </row>
    <row r="46" spans="1:6" x14ac:dyDescent="0.35">
      <c r="A46" s="1">
        <v>44</v>
      </c>
      <c r="B46" s="71"/>
      <c r="C46" s="1">
        <v>2021</v>
      </c>
      <c r="D46" s="3">
        <v>23725885000000</v>
      </c>
      <c r="E46" s="3">
        <v>29230513000000</v>
      </c>
      <c r="F46" s="51">
        <f t="shared" si="0"/>
        <v>-0.18831787180744997</v>
      </c>
    </row>
    <row r="47" spans="1:6" x14ac:dyDescent="0.35">
      <c r="A47" s="1">
        <v>45</v>
      </c>
      <c r="B47" s="71" t="s">
        <v>14</v>
      </c>
      <c r="C47" s="1">
        <v>2018</v>
      </c>
      <c r="D47" s="3">
        <v>30172315337000</v>
      </c>
      <c r="E47" s="3">
        <v>28825608648000</v>
      </c>
      <c r="F47" s="51">
        <f t="shared" si="0"/>
        <v>4.6719106799968234E-2</v>
      </c>
    </row>
    <row r="48" spans="1:6" x14ac:dyDescent="0.35">
      <c r="A48" s="1">
        <v>46</v>
      </c>
      <c r="B48" s="71"/>
      <c r="C48" s="1">
        <v>2019</v>
      </c>
      <c r="D48" s="4">
        <v>30456458802000</v>
      </c>
      <c r="E48" s="4">
        <v>30172315337000</v>
      </c>
      <c r="F48" s="51">
        <f t="shared" si="0"/>
        <v>9.4173569985051102E-3</v>
      </c>
    </row>
    <row r="49" spans="1:6" x14ac:dyDescent="0.35">
      <c r="A49" s="1">
        <v>47</v>
      </c>
      <c r="B49" s="71"/>
      <c r="C49" s="1">
        <v>2020</v>
      </c>
      <c r="D49" s="4">
        <v>26221407472000</v>
      </c>
      <c r="E49" s="4">
        <v>30456458802000</v>
      </c>
      <c r="F49" s="51">
        <f t="shared" si="0"/>
        <v>-0.1390526507868963</v>
      </c>
    </row>
    <row r="50" spans="1:6" x14ac:dyDescent="0.35">
      <c r="A50" s="1">
        <v>48</v>
      </c>
      <c r="B50" s="71"/>
      <c r="C50" s="1">
        <v>2021</v>
      </c>
      <c r="D50" s="4">
        <v>24947143045000</v>
      </c>
      <c r="E50" s="4">
        <v>26221407472000</v>
      </c>
      <c r="F50" s="51">
        <f t="shared" si="0"/>
        <v>-4.8596339779269956E-2</v>
      </c>
    </row>
    <row r="51" spans="1:6" x14ac:dyDescent="0.35">
      <c r="A51" s="1">
        <v>49</v>
      </c>
      <c r="B51" s="71" t="s">
        <v>15</v>
      </c>
      <c r="C51" s="1">
        <v>2018</v>
      </c>
      <c r="D51" s="3">
        <v>11103279117000</v>
      </c>
      <c r="E51" s="3">
        <v>9890847326000</v>
      </c>
      <c r="F51" s="51">
        <f t="shared" si="0"/>
        <v>0.1225811855181395</v>
      </c>
    </row>
    <row r="52" spans="1:6" x14ac:dyDescent="0.35">
      <c r="A52" s="1">
        <v>50</v>
      </c>
      <c r="B52" s="71"/>
      <c r="C52" s="1">
        <v>2019</v>
      </c>
      <c r="D52" s="3">
        <v>12117478069000</v>
      </c>
      <c r="E52" s="3">
        <v>11103279117000</v>
      </c>
      <c r="F52" s="51">
        <f t="shared" si="0"/>
        <v>9.1342290985658561E-2</v>
      </c>
    </row>
    <row r="53" spans="1:6" x14ac:dyDescent="0.35">
      <c r="A53" s="1">
        <v>51</v>
      </c>
      <c r="B53" s="71"/>
      <c r="C53" s="1">
        <v>2020</v>
      </c>
      <c r="D53" s="3">
        <v>10917456216000</v>
      </c>
      <c r="E53" s="3">
        <v>12117478069000</v>
      </c>
      <c r="F53" s="51">
        <f t="shared" si="0"/>
        <v>-9.903231069755361E-2</v>
      </c>
    </row>
    <row r="54" spans="1:6" x14ac:dyDescent="0.35">
      <c r="A54" s="1">
        <v>52</v>
      </c>
      <c r="B54" s="71"/>
      <c r="C54" s="1">
        <v>2021</v>
      </c>
      <c r="D54" s="3">
        <v>7123904019000</v>
      </c>
      <c r="E54" s="3">
        <v>10917456216000</v>
      </c>
      <c r="F54" s="51">
        <f t="shared" si="0"/>
        <v>-0.34747583337594584</v>
      </c>
    </row>
    <row r="55" spans="1:6" x14ac:dyDescent="0.35">
      <c r="A55" s="1">
        <v>53</v>
      </c>
      <c r="B55" s="71" t="s">
        <v>16</v>
      </c>
      <c r="C55" s="1">
        <v>2018</v>
      </c>
      <c r="D55" s="3">
        <v>2260886445000</v>
      </c>
      <c r="E55" s="3">
        <v>3850636684000</v>
      </c>
      <c r="F55" s="51">
        <f t="shared" si="0"/>
        <v>-0.4128538653375588</v>
      </c>
    </row>
    <row r="56" spans="1:6" x14ac:dyDescent="0.35">
      <c r="A56" s="1">
        <v>54</v>
      </c>
      <c r="B56" s="71"/>
      <c r="C56" s="1">
        <v>2019</v>
      </c>
      <c r="D56" s="3">
        <v>1191295498000</v>
      </c>
      <c r="E56" s="3">
        <v>2260886445000</v>
      </c>
      <c r="F56" s="51">
        <f t="shared" si="0"/>
        <v>-0.4730847714025726</v>
      </c>
    </row>
    <row r="57" spans="1:6" x14ac:dyDescent="0.35">
      <c r="A57" s="1">
        <v>55</v>
      </c>
      <c r="B57" s="71"/>
      <c r="C57" s="1">
        <v>2020</v>
      </c>
      <c r="D57" s="3">
        <v>772208525000</v>
      </c>
      <c r="E57" s="3">
        <v>1191295498000</v>
      </c>
      <c r="F57" s="51">
        <f t="shared" si="0"/>
        <v>-0.35179094834453911</v>
      </c>
    </row>
    <row r="58" spans="1:6" x14ac:dyDescent="0.35">
      <c r="A58" s="1">
        <v>56</v>
      </c>
      <c r="B58" s="71"/>
      <c r="C58" s="1">
        <v>2021</v>
      </c>
      <c r="D58" s="3">
        <v>650558755000</v>
      </c>
      <c r="E58" s="3">
        <v>772208525000</v>
      </c>
      <c r="F58" s="51">
        <f t="shared" si="0"/>
        <v>-0.15753487051959184</v>
      </c>
    </row>
    <row r="59" spans="1:6" x14ac:dyDescent="0.35">
      <c r="A59" s="1">
        <v>57</v>
      </c>
      <c r="B59" s="71" t="s">
        <v>17</v>
      </c>
      <c r="C59" s="1">
        <v>2018</v>
      </c>
      <c r="D59" s="3">
        <v>86971893000000</v>
      </c>
      <c r="E59" s="3">
        <v>74745570000000</v>
      </c>
      <c r="F59" s="51">
        <f t="shared" si="0"/>
        <v>0.16357254349655773</v>
      </c>
    </row>
    <row r="60" spans="1:6" x14ac:dyDescent="0.35">
      <c r="A60" s="1">
        <v>58</v>
      </c>
      <c r="B60" s="71"/>
      <c r="C60" s="1">
        <v>2019</v>
      </c>
      <c r="D60" s="3">
        <v>93408831000000</v>
      </c>
      <c r="E60" s="3">
        <v>86971893000000</v>
      </c>
      <c r="F60" s="51">
        <f t="shared" si="0"/>
        <v>7.401170398809187E-2</v>
      </c>
    </row>
    <row r="61" spans="1:6" x14ac:dyDescent="0.35">
      <c r="A61" s="1">
        <v>59</v>
      </c>
      <c r="B61" s="71"/>
      <c r="C61" s="1">
        <v>2020</v>
      </c>
      <c r="D61" s="3">
        <v>92518025000000</v>
      </c>
      <c r="E61" s="3">
        <v>93408831000000</v>
      </c>
      <c r="F61" s="51">
        <f t="shared" si="0"/>
        <v>-9.5366357812571283E-3</v>
      </c>
    </row>
    <row r="62" spans="1:6" x14ac:dyDescent="0.35">
      <c r="A62" s="1">
        <v>60</v>
      </c>
      <c r="B62" s="71"/>
      <c r="C62" s="1">
        <v>2021</v>
      </c>
      <c r="D62" s="3">
        <v>119104185000000</v>
      </c>
      <c r="E62" s="3">
        <v>92518025000000</v>
      </c>
      <c r="F62" s="51">
        <f t="shared" si="0"/>
        <v>0.28736194919854807</v>
      </c>
    </row>
    <row r="63" spans="1:6" x14ac:dyDescent="0.35">
      <c r="A63" s="1">
        <v>61</v>
      </c>
      <c r="B63" s="71" t="s">
        <v>18</v>
      </c>
      <c r="C63" s="1">
        <v>2018</v>
      </c>
      <c r="D63" s="3">
        <v>543334863433</v>
      </c>
      <c r="E63" s="3">
        <v>507913387670</v>
      </c>
      <c r="F63" s="51">
        <f t="shared" si="0"/>
        <v>6.9739204799251983E-2</v>
      </c>
    </row>
    <row r="64" spans="1:6" x14ac:dyDescent="0.35">
      <c r="A64" s="1">
        <v>62</v>
      </c>
      <c r="B64" s="71"/>
      <c r="C64" s="1">
        <v>2019</v>
      </c>
      <c r="D64" s="3">
        <v>418394702709</v>
      </c>
      <c r="E64" s="3">
        <v>543334863433</v>
      </c>
      <c r="F64" s="51">
        <f t="shared" si="0"/>
        <v>-0.22995056848474565</v>
      </c>
    </row>
    <row r="65" spans="1:6" x14ac:dyDescent="0.35">
      <c r="A65" s="1">
        <v>63</v>
      </c>
      <c r="B65" s="71"/>
      <c r="C65" s="1">
        <v>2020</v>
      </c>
      <c r="D65" s="3">
        <v>334609310613</v>
      </c>
      <c r="E65" s="3">
        <v>418394702709</v>
      </c>
      <c r="F65" s="51">
        <f t="shared" si="0"/>
        <v>-0.20025442854202205</v>
      </c>
    </row>
    <row r="66" spans="1:6" x14ac:dyDescent="0.35">
      <c r="A66" s="1">
        <v>64</v>
      </c>
      <c r="B66" s="71"/>
      <c r="C66" s="1">
        <v>2021</v>
      </c>
      <c r="D66" s="3">
        <v>266587854693</v>
      </c>
      <c r="E66" s="3">
        <v>334609310613</v>
      </c>
      <c r="F66" s="51">
        <f t="shared" si="0"/>
        <v>-0.20328620203480161</v>
      </c>
    </row>
    <row r="67" spans="1:6" x14ac:dyDescent="0.35">
      <c r="A67" s="1">
        <v>65</v>
      </c>
      <c r="B67" s="71" t="s">
        <v>19</v>
      </c>
      <c r="C67" s="1">
        <v>2018</v>
      </c>
      <c r="D67" s="3">
        <v>28252725000000</v>
      </c>
      <c r="E67" s="3">
        <v>26471320000000</v>
      </c>
      <c r="F67" s="51">
        <f t="shared" si="0"/>
        <v>6.7295661871036278E-2</v>
      </c>
    </row>
    <row r="68" spans="1:6" x14ac:dyDescent="0.35">
      <c r="A68" s="1">
        <v>66</v>
      </c>
      <c r="B68" s="71"/>
      <c r="C68" s="1">
        <v>2019</v>
      </c>
      <c r="D68" s="3">
        <v>30289386000000</v>
      </c>
      <c r="E68" s="3">
        <v>28252725000000</v>
      </c>
      <c r="F68" s="51">
        <f t="shared" ref="F68:F130" si="1">(D68-E68)/E68</f>
        <v>7.2087241142226102E-2</v>
      </c>
    </row>
    <row r="69" spans="1:6" x14ac:dyDescent="0.35">
      <c r="A69" s="1">
        <v>67</v>
      </c>
      <c r="B69" s="71"/>
      <c r="C69" s="1">
        <v>2020</v>
      </c>
      <c r="D69" s="3">
        <v>32381721000000</v>
      </c>
      <c r="E69" s="3">
        <v>30289386000000</v>
      </c>
      <c r="F69" s="51">
        <f t="shared" si="1"/>
        <v>6.9078158269698833E-2</v>
      </c>
    </row>
    <row r="70" spans="1:6" x14ac:dyDescent="0.35">
      <c r="A70" s="1">
        <v>68</v>
      </c>
      <c r="B70" s="71"/>
      <c r="C70" s="1">
        <v>2021</v>
      </c>
      <c r="D70" s="3">
        <v>33192581000000</v>
      </c>
      <c r="E70" s="3">
        <v>32381721000000</v>
      </c>
      <c r="F70" s="51">
        <f t="shared" si="1"/>
        <v>2.5040670321382855E-2</v>
      </c>
    </row>
    <row r="71" spans="1:6" x14ac:dyDescent="0.35">
      <c r="A71" s="1">
        <v>69</v>
      </c>
      <c r="B71" s="71" t="s">
        <v>20</v>
      </c>
      <c r="C71" s="1">
        <v>2018</v>
      </c>
      <c r="D71" s="3">
        <v>29631693000000</v>
      </c>
      <c r="E71" s="3">
        <v>27086504000000</v>
      </c>
      <c r="F71" s="51">
        <f t="shared" si="1"/>
        <v>9.3965208651511464E-2</v>
      </c>
    </row>
    <row r="72" spans="1:6" x14ac:dyDescent="0.35">
      <c r="A72" s="1">
        <v>70</v>
      </c>
      <c r="B72" s="71"/>
      <c r="C72" s="1">
        <v>2019</v>
      </c>
      <c r="D72" s="3">
        <v>36940436000000</v>
      </c>
      <c r="E72" s="3">
        <v>29631693000000</v>
      </c>
      <c r="F72" s="51">
        <f t="shared" si="1"/>
        <v>0.24665289965038448</v>
      </c>
    </row>
    <row r="73" spans="1:6" x14ac:dyDescent="0.35">
      <c r="A73" s="1">
        <v>71</v>
      </c>
      <c r="B73" s="71"/>
      <c r="C73" s="1">
        <v>2020</v>
      </c>
      <c r="D73" s="3">
        <v>38053939000000</v>
      </c>
      <c r="E73" s="3">
        <v>36940436000000</v>
      </c>
      <c r="F73" s="51">
        <f t="shared" si="1"/>
        <v>3.0143201341749189E-2</v>
      </c>
    </row>
    <row r="74" spans="1:6" x14ac:dyDescent="0.35">
      <c r="A74" s="1">
        <v>72</v>
      </c>
      <c r="B74" s="71"/>
      <c r="C74" s="1">
        <v>2021</v>
      </c>
      <c r="D74" s="3">
        <v>43801571000000</v>
      </c>
      <c r="E74" s="3">
        <v>38053939000000</v>
      </c>
      <c r="F74" s="51">
        <f t="shared" si="1"/>
        <v>0.15103908165722346</v>
      </c>
    </row>
    <row r="75" spans="1:6" x14ac:dyDescent="0.35">
      <c r="A75" s="1">
        <v>73</v>
      </c>
      <c r="B75" s="71" t="s">
        <v>21</v>
      </c>
      <c r="C75" s="1">
        <v>2018</v>
      </c>
      <c r="D75" s="3">
        <v>100663451000000</v>
      </c>
      <c r="E75" s="3">
        <v>89086788000000</v>
      </c>
      <c r="F75" s="51">
        <f t="shared" si="1"/>
        <v>0.12994814674427368</v>
      </c>
    </row>
    <row r="76" spans="1:6" x14ac:dyDescent="0.35">
      <c r="A76" s="1">
        <v>74</v>
      </c>
      <c r="B76" s="71"/>
      <c r="C76" s="1">
        <v>2019</v>
      </c>
      <c r="D76" s="3">
        <v>99624857000000</v>
      </c>
      <c r="E76" s="3">
        <v>100663451000000</v>
      </c>
      <c r="F76" s="51">
        <f t="shared" si="1"/>
        <v>-1.0317488519244189E-2</v>
      </c>
    </row>
    <row r="77" spans="1:6" x14ac:dyDescent="0.35">
      <c r="A77" s="1">
        <v>75</v>
      </c>
      <c r="B77" s="71"/>
      <c r="C77" s="1">
        <v>2020</v>
      </c>
      <c r="D77" s="3">
        <v>108456227000000</v>
      </c>
      <c r="E77" s="3">
        <v>99624857000000</v>
      </c>
      <c r="F77" s="51">
        <f t="shared" si="1"/>
        <v>8.8646250202396776E-2</v>
      </c>
    </row>
    <row r="78" spans="1:6" x14ac:dyDescent="0.35">
      <c r="A78" s="1">
        <v>76</v>
      </c>
      <c r="B78" s="71"/>
      <c r="C78" s="1">
        <v>2021</v>
      </c>
      <c r="D78" s="3">
        <v>117509999000000</v>
      </c>
      <c r="E78" s="3">
        <v>108456227000000</v>
      </c>
      <c r="F78" s="51">
        <f t="shared" si="1"/>
        <v>8.3478581640130264E-2</v>
      </c>
    </row>
    <row r="79" spans="1:6" x14ac:dyDescent="0.35">
      <c r="A79" s="1">
        <v>77</v>
      </c>
      <c r="B79" s="71" t="s">
        <v>22</v>
      </c>
      <c r="C79" s="1">
        <v>2018</v>
      </c>
      <c r="D79" s="3">
        <v>8827307000000</v>
      </c>
      <c r="E79" s="3">
        <v>7745732000000</v>
      </c>
      <c r="F79" s="51">
        <f t="shared" si="1"/>
        <v>0.13963496284147192</v>
      </c>
    </row>
    <row r="80" spans="1:6" x14ac:dyDescent="0.35">
      <c r="A80" s="1">
        <v>78</v>
      </c>
      <c r="B80" s="71"/>
      <c r="C80" s="1">
        <v>2019</v>
      </c>
      <c r="D80" s="3">
        <v>8271170000000</v>
      </c>
      <c r="E80" s="3">
        <v>8827307000000</v>
      </c>
      <c r="F80" s="51">
        <f t="shared" si="1"/>
        <v>-6.3001887212034202E-2</v>
      </c>
    </row>
    <row r="81" spans="1:6" x14ac:dyDescent="0.35">
      <c r="A81" s="1">
        <v>79</v>
      </c>
      <c r="B81" s="71"/>
      <c r="C81" s="1">
        <v>2020</v>
      </c>
      <c r="D81" s="3">
        <v>5283702000000</v>
      </c>
      <c r="E81" s="3">
        <v>8271170000000</v>
      </c>
      <c r="F81" s="51">
        <f t="shared" si="1"/>
        <v>-0.3611904966286511</v>
      </c>
    </row>
    <row r="82" spans="1:6" x14ac:dyDescent="0.35">
      <c r="A82" s="1">
        <v>80</v>
      </c>
      <c r="B82" s="71"/>
      <c r="C82" s="1">
        <v>2021</v>
      </c>
      <c r="D82" s="3">
        <v>5151084000000</v>
      </c>
      <c r="E82" s="3">
        <v>5283702000000</v>
      </c>
      <c r="F82" s="51">
        <f t="shared" si="1"/>
        <v>-2.5099447319322701E-2</v>
      </c>
    </row>
    <row r="83" spans="1:6" x14ac:dyDescent="0.35">
      <c r="A83" s="1">
        <v>81</v>
      </c>
      <c r="B83" s="70" t="s">
        <v>78</v>
      </c>
      <c r="C83" s="25">
        <v>2018</v>
      </c>
      <c r="D83" s="52">
        <v>1061398832000</v>
      </c>
      <c r="E83" s="52">
        <v>1076575416000</v>
      </c>
      <c r="F83" s="51">
        <f t="shared" si="1"/>
        <v>-1.4097093222124999E-2</v>
      </c>
    </row>
    <row r="84" spans="1:6" x14ac:dyDescent="0.35">
      <c r="A84" s="1">
        <v>82</v>
      </c>
      <c r="B84" s="70"/>
      <c r="C84" s="25">
        <v>2019</v>
      </c>
      <c r="D84" s="52">
        <v>1158038755000</v>
      </c>
      <c r="E84" s="53">
        <f>D83</f>
        <v>1061398832000</v>
      </c>
      <c r="F84" s="51">
        <f t="shared" si="1"/>
        <v>9.1049584836927724E-2</v>
      </c>
    </row>
    <row r="85" spans="1:6" x14ac:dyDescent="0.35">
      <c r="A85" s="1">
        <v>83</v>
      </c>
      <c r="B85" s="70"/>
      <c r="C85" s="25">
        <v>2020</v>
      </c>
      <c r="D85" s="52">
        <v>859876511000</v>
      </c>
      <c r="E85" s="53">
        <f t="shared" ref="E85:E86" si="2">D84</f>
        <v>1158038755000</v>
      </c>
      <c r="F85" s="51">
        <f t="shared" si="1"/>
        <v>-0.25747173202333801</v>
      </c>
    </row>
    <row r="86" spans="1:6" x14ac:dyDescent="0.35">
      <c r="A86" s="1">
        <v>84</v>
      </c>
      <c r="B86" s="70"/>
      <c r="C86" s="25">
        <v>2021</v>
      </c>
      <c r="D86" s="52">
        <v>822740369000</v>
      </c>
      <c r="E86" s="53">
        <f t="shared" si="2"/>
        <v>859876511000</v>
      </c>
      <c r="F86" s="51">
        <f t="shared" si="1"/>
        <v>-4.3187761876193408E-2</v>
      </c>
    </row>
    <row r="87" spans="1:6" x14ac:dyDescent="0.35">
      <c r="A87" s="1">
        <v>85</v>
      </c>
      <c r="B87" s="70" t="s">
        <v>79</v>
      </c>
      <c r="C87" s="25">
        <v>2018</v>
      </c>
      <c r="D87" s="52">
        <v>95643923000000</v>
      </c>
      <c r="E87" s="52">
        <v>106442999000000</v>
      </c>
      <c r="F87" s="51">
        <f t="shared" si="1"/>
        <v>-0.10145407496457329</v>
      </c>
    </row>
    <row r="88" spans="1:6" x14ac:dyDescent="0.35">
      <c r="A88" s="1">
        <v>86</v>
      </c>
      <c r="B88" s="70"/>
      <c r="C88" s="25">
        <v>2019</v>
      </c>
      <c r="D88" s="52">
        <v>100264248000000</v>
      </c>
      <c r="E88" s="53">
        <f>D87</f>
        <v>95643923000000</v>
      </c>
      <c r="F88" s="51">
        <f t="shared" si="1"/>
        <v>4.8307564715847129E-2</v>
      </c>
    </row>
    <row r="89" spans="1:6" x14ac:dyDescent="0.35">
      <c r="A89" s="1">
        <v>87</v>
      </c>
      <c r="B89" s="70"/>
      <c r="C89" s="25">
        <v>2020</v>
      </c>
      <c r="D89" s="52">
        <v>79938578000000</v>
      </c>
      <c r="E89" s="53">
        <f t="shared" ref="E89:E90" si="3">D88</f>
        <v>100264248000000</v>
      </c>
      <c r="F89" s="51">
        <f t="shared" si="1"/>
        <v>-0.20272101377551846</v>
      </c>
    </row>
    <row r="90" spans="1:6" x14ac:dyDescent="0.35">
      <c r="A90" s="1">
        <v>88</v>
      </c>
      <c r="B90" s="70"/>
      <c r="C90" s="25">
        <v>2021</v>
      </c>
      <c r="D90" s="52">
        <v>89215674000000</v>
      </c>
      <c r="E90" s="53">
        <f t="shared" si="3"/>
        <v>79938578000000</v>
      </c>
      <c r="F90" s="51">
        <f t="shared" si="1"/>
        <v>0.11605280244039368</v>
      </c>
    </row>
    <row r="91" spans="1:6" x14ac:dyDescent="0.35">
      <c r="A91" s="1">
        <v>89</v>
      </c>
      <c r="B91" s="70" t="s">
        <v>80</v>
      </c>
      <c r="C91" s="25">
        <v>2018</v>
      </c>
      <c r="D91" s="52">
        <v>12093079368934</v>
      </c>
      <c r="E91" s="52">
        <v>11817844456356</v>
      </c>
      <c r="F91" s="51">
        <f t="shared" si="1"/>
        <v>2.328977281723912E-2</v>
      </c>
    </row>
    <row r="92" spans="1:6" x14ac:dyDescent="0.35">
      <c r="A92" s="1">
        <v>90</v>
      </c>
      <c r="B92" s="70"/>
      <c r="C92" s="25">
        <v>2019</v>
      </c>
      <c r="D92" s="52">
        <v>12900218775263</v>
      </c>
      <c r="E92" s="53">
        <f>D91</f>
        <v>12093079368934</v>
      </c>
      <c r="F92" s="51">
        <f t="shared" si="1"/>
        <v>6.6743910438764362E-2</v>
      </c>
    </row>
    <row r="93" spans="1:6" x14ac:dyDescent="0.35">
      <c r="A93" s="1">
        <v>91</v>
      </c>
      <c r="B93" s="70"/>
      <c r="C93" s="25">
        <v>2020</v>
      </c>
      <c r="D93" s="52">
        <v>14159755232533</v>
      </c>
      <c r="E93" s="53">
        <f t="shared" ref="E93:E94" si="4">D92</f>
        <v>12900218775263</v>
      </c>
      <c r="F93" s="51">
        <f t="shared" si="1"/>
        <v>9.7636829205194745E-2</v>
      </c>
    </row>
    <row r="94" spans="1:6" x14ac:dyDescent="0.35">
      <c r="A94" s="1">
        <v>92</v>
      </c>
      <c r="B94" s="70"/>
      <c r="C94" s="25">
        <v>2021</v>
      </c>
      <c r="D94" s="52">
        <v>15983152301240</v>
      </c>
      <c r="E94" s="53">
        <f t="shared" si="4"/>
        <v>14159755232533</v>
      </c>
      <c r="F94" s="51">
        <f t="shared" si="1"/>
        <v>0.12877320538123577</v>
      </c>
    </row>
    <row r="95" spans="1:6" x14ac:dyDescent="0.35">
      <c r="A95" s="1">
        <v>93</v>
      </c>
      <c r="B95" s="70" t="s">
        <v>81</v>
      </c>
      <c r="C95" s="25">
        <v>2018</v>
      </c>
      <c r="D95" s="52">
        <v>1296898292000000</v>
      </c>
      <c r="E95" s="52">
        <v>1127447489000000</v>
      </c>
      <c r="F95" s="51">
        <f t="shared" si="1"/>
        <v>0.15029596025824313</v>
      </c>
    </row>
    <row r="96" spans="1:6" x14ac:dyDescent="0.35">
      <c r="A96" s="1">
        <v>94</v>
      </c>
      <c r="B96" s="70"/>
      <c r="C96" s="25">
        <v>2019</v>
      </c>
      <c r="D96" s="52">
        <v>1416758840000000</v>
      </c>
      <c r="E96" s="53">
        <f>D95</f>
        <v>1296898292000000</v>
      </c>
      <c r="F96" s="51">
        <f t="shared" si="1"/>
        <v>9.2420931340080753E-2</v>
      </c>
    </row>
    <row r="97" spans="1:6" x14ac:dyDescent="0.35">
      <c r="A97" s="1">
        <v>95</v>
      </c>
      <c r="B97" s="70"/>
      <c r="C97" s="25">
        <v>2020</v>
      </c>
      <c r="D97" s="52">
        <v>1610065344000000</v>
      </c>
      <c r="E97" s="53">
        <f t="shared" ref="E97:E98" si="5">D96</f>
        <v>1416758840000000</v>
      </c>
      <c r="F97" s="51">
        <f t="shared" si="1"/>
        <v>0.13644277243401565</v>
      </c>
    </row>
    <row r="98" spans="1:6" x14ac:dyDescent="0.35">
      <c r="A98" s="1">
        <v>96</v>
      </c>
      <c r="B98" s="70"/>
      <c r="C98" s="25">
        <v>2021</v>
      </c>
      <c r="D98" s="52">
        <v>1678097734000000</v>
      </c>
      <c r="E98" s="53">
        <f t="shared" si="5"/>
        <v>1610065344000000</v>
      </c>
      <c r="F98" s="51">
        <f t="shared" si="1"/>
        <v>4.2254427904759619E-2</v>
      </c>
    </row>
    <row r="99" spans="1:6" x14ac:dyDescent="0.35">
      <c r="A99" s="1">
        <v>97</v>
      </c>
      <c r="B99" s="70" t="s">
        <v>82</v>
      </c>
      <c r="C99" s="25">
        <v>2018</v>
      </c>
      <c r="D99" s="52">
        <v>4533729146622</v>
      </c>
      <c r="E99" s="52">
        <v>5004795018159</v>
      </c>
      <c r="F99" s="51">
        <f t="shared" si="1"/>
        <v>-9.4122910094783518E-2</v>
      </c>
    </row>
    <row r="100" spans="1:6" x14ac:dyDescent="0.35">
      <c r="A100" s="1">
        <v>98</v>
      </c>
      <c r="B100" s="70"/>
      <c r="C100" s="25">
        <v>2019</v>
      </c>
      <c r="D100" s="52">
        <v>5123734649117</v>
      </c>
      <c r="E100" s="53">
        <f>D99</f>
        <v>4533729146622</v>
      </c>
      <c r="F100" s="51">
        <f t="shared" si="1"/>
        <v>0.13013691012719683</v>
      </c>
    </row>
    <row r="101" spans="1:6" x14ac:dyDescent="0.35">
      <c r="A101" s="1">
        <v>99</v>
      </c>
      <c r="B101" s="70"/>
      <c r="C101" s="25">
        <v>2020</v>
      </c>
      <c r="D101" s="52">
        <v>5421324398438</v>
      </c>
      <c r="E101" s="53">
        <f t="shared" ref="E101:E102" si="6">D100</f>
        <v>5123734649117</v>
      </c>
      <c r="F101" s="51">
        <f t="shared" si="1"/>
        <v>5.8080632526956721E-2</v>
      </c>
    </row>
    <row r="102" spans="1:6" x14ac:dyDescent="0.35">
      <c r="A102" s="1">
        <v>100</v>
      </c>
      <c r="B102" s="70"/>
      <c r="C102" s="25">
        <v>2021</v>
      </c>
      <c r="D102" s="52">
        <v>11337808684383</v>
      </c>
      <c r="E102" s="53">
        <f t="shared" si="6"/>
        <v>5421324398438</v>
      </c>
      <c r="F102" s="51">
        <f t="shared" si="1"/>
        <v>1.0913355946103624</v>
      </c>
    </row>
    <row r="103" spans="1:6" x14ac:dyDescent="0.35">
      <c r="A103" s="1">
        <v>101</v>
      </c>
      <c r="B103" s="70" t="s">
        <v>83</v>
      </c>
      <c r="C103" s="25">
        <v>2018</v>
      </c>
      <c r="D103" s="52">
        <v>3854174000000</v>
      </c>
      <c r="E103" s="52">
        <v>3123345000000</v>
      </c>
      <c r="F103" s="51">
        <f t="shared" si="1"/>
        <v>0.23398920068068049</v>
      </c>
    </row>
    <row r="104" spans="1:6" x14ac:dyDescent="0.35">
      <c r="A104" s="1">
        <v>102</v>
      </c>
      <c r="B104" s="70"/>
      <c r="C104" s="25">
        <v>2019</v>
      </c>
      <c r="D104" s="52">
        <v>5262429000000</v>
      </c>
      <c r="E104" s="53">
        <f>D103</f>
        <v>3854174000000</v>
      </c>
      <c r="F104" s="51">
        <f t="shared" si="1"/>
        <v>0.36538438586322258</v>
      </c>
    </row>
    <row r="105" spans="1:6" x14ac:dyDescent="0.35">
      <c r="A105" s="1">
        <v>103</v>
      </c>
      <c r="B105" s="70"/>
      <c r="C105" s="25">
        <v>2020</v>
      </c>
      <c r="D105" s="52">
        <v>8437685000000</v>
      </c>
      <c r="E105" s="53">
        <f t="shared" ref="E105:E106" si="7">D104</f>
        <v>5262429000000</v>
      </c>
      <c r="F105" s="51">
        <f t="shared" si="1"/>
        <v>0.60338220240121054</v>
      </c>
    </row>
    <row r="106" spans="1:6" x14ac:dyDescent="0.35">
      <c r="A106" s="1">
        <v>104</v>
      </c>
      <c r="B106" s="70"/>
      <c r="C106" s="25">
        <v>2021</v>
      </c>
      <c r="D106" s="52">
        <v>15055850000000</v>
      </c>
      <c r="E106" s="53">
        <f t="shared" si="7"/>
        <v>8437685000000</v>
      </c>
      <c r="F106" s="51">
        <f t="shared" si="1"/>
        <v>0.78435791333760385</v>
      </c>
    </row>
    <row r="107" spans="1:6" x14ac:dyDescent="0.35">
      <c r="A107" s="1">
        <v>105</v>
      </c>
      <c r="B107" s="70" t="s">
        <v>84</v>
      </c>
      <c r="C107" s="25">
        <v>2018</v>
      </c>
      <c r="D107" s="52">
        <v>62689118000000</v>
      </c>
      <c r="E107" s="52">
        <v>51518581000000</v>
      </c>
      <c r="F107" s="51">
        <f t="shared" si="1"/>
        <v>0.21682540130521064</v>
      </c>
    </row>
    <row r="108" spans="1:6" x14ac:dyDescent="0.35">
      <c r="A108" s="1">
        <v>106</v>
      </c>
      <c r="B108" s="70"/>
      <c r="C108" s="25">
        <v>2019</v>
      </c>
      <c r="D108" s="52">
        <v>76756313000000</v>
      </c>
      <c r="E108" s="53">
        <f>D107</f>
        <v>62689118000000</v>
      </c>
      <c r="F108" s="51">
        <f t="shared" si="1"/>
        <v>0.22439612246578425</v>
      </c>
    </row>
    <row r="109" spans="1:6" x14ac:dyDescent="0.35">
      <c r="A109" s="1">
        <v>107</v>
      </c>
      <c r="B109" s="70"/>
      <c r="C109" s="25">
        <v>2020</v>
      </c>
      <c r="D109" s="52">
        <v>83619452000000</v>
      </c>
      <c r="E109" s="53">
        <f t="shared" ref="E109:E110" si="8">D108</f>
        <v>76756313000000</v>
      </c>
      <c r="F109" s="51">
        <f t="shared" si="1"/>
        <v>8.9414651795481637E-2</v>
      </c>
    </row>
    <row r="110" spans="1:6" x14ac:dyDescent="0.35">
      <c r="A110" s="1">
        <v>108</v>
      </c>
      <c r="B110" s="70"/>
      <c r="C110" s="25">
        <v>2021</v>
      </c>
      <c r="D110" s="52">
        <v>100723330000000</v>
      </c>
      <c r="E110" s="53">
        <f t="shared" si="8"/>
        <v>83619452000000</v>
      </c>
      <c r="F110" s="51">
        <f t="shared" si="1"/>
        <v>0.2045442488668785</v>
      </c>
    </row>
    <row r="111" spans="1:6" x14ac:dyDescent="0.35">
      <c r="A111" s="1">
        <v>109</v>
      </c>
      <c r="B111" s="70" t="s">
        <v>85</v>
      </c>
      <c r="C111" s="25">
        <v>2018</v>
      </c>
      <c r="D111" s="52">
        <v>1202252094000000</v>
      </c>
      <c r="E111" s="52">
        <v>1124700847000000</v>
      </c>
      <c r="F111" s="51">
        <f t="shared" si="1"/>
        <v>6.8952777271270249E-2</v>
      </c>
    </row>
    <row r="112" spans="1:6" x14ac:dyDescent="0.35">
      <c r="A112" s="1">
        <v>110</v>
      </c>
      <c r="B112" s="70"/>
      <c r="C112" s="25">
        <v>2019</v>
      </c>
      <c r="D112" s="52">
        <v>1318246335000000</v>
      </c>
      <c r="E112" s="53">
        <f>D111</f>
        <v>1202252094000000</v>
      </c>
      <c r="F112" s="51">
        <f t="shared" si="1"/>
        <v>9.6480797645422944E-2</v>
      </c>
    </row>
    <row r="113" spans="1:6" x14ac:dyDescent="0.35">
      <c r="A113" s="1">
        <v>111</v>
      </c>
      <c r="B113" s="70"/>
      <c r="C113" s="25">
        <v>2020</v>
      </c>
      <c r="D113" s="52">
        <v>1429334484000000</v>
      </c>
      <c r="E113" s="53">
        <f t="shared" ref="E113:E114" si="9">D112</f>
        <v>1318246335000000</v>
      </c>
      <c r="F113" s="51">
        <f t="shared" si="1"/>
        <v>8.4269643730888882E-2</v>
      </c>
    </row>
    <row r="114" spans="1:6" x14ac:dyDescent="0.35">
      <c r="A114" s="1">
        <v>112</v>
      </c>
      <c r="B114" s="70"/>
      <c r="C114" s="25">
        <v>2021</v>
      </c>
      <c r="D114" s="52">
        <v>1725611128000000</v>
      </c>
      <c r="E114" s="53">
        <f t="shared" si="9"/>
        <v>1429334484000000</v>
      </c>
      <c r="F114" s="51">
        <f t="shared" si="1"/>
        <v>0.20728293294293737</v>
      </c>
    </row>
    <row r="115" spans="1:6" x14ac:dyDescent="0.35">
      <c r="A115" s="1">
        <v>113</v>
      </c>
      <c r="B115" s="67" t="s">
        <v>86</v>
      </c>
      <c r="C115" s="25">
        <v>2018</v>
      </c>
      <c r="D115" s="52">
        <v>7297273467260</v>
      </c>
      <c r="E115" s="52">
        <v>7014677335611</v>
      </c>
      <c r="F115" s="51">
        <f t="shared" si="1"/>
        <v>4.0286404937595749E-2</v>
      </c>
    </row>
    <row r="116" spans="1:6" x14ac:dyDescent="0.35">
      <c r="A116" s="1">
        <v>114</v>
      </c>
      <c r="B116" s="68"/>
      <c r="C116" s="25">
        <v>2019</v>
      </c>
      <c r="D116" s="52">
        <v>7607653715376</v>
      </c>
      <c r="E116" s="53">
        <f>D115</f>
        <v>7297273467260</v>
      </c>
      <c r="F116" s="51">
        <f t="shared" si="1"/>
        <v>4.2533728454683006E-2</v>
      </c>
    </row>
    <row r="117" spans="1:6" x14ac:dyDescent="0.35">
      <c r="A117" s="1">
        <v>115</v>
      </c>
      <c r="B117" s="68"/>
      <c r="C117" s="25">
        <v>2020</v>
      </c>
      <c r="D117" s="52">
        <v>7637524325854</v>
      </c>
      <c r="E117" s="53">
        <f t="shared" ref="E117:E118" si="10">D116</f>
        <v>7607653715376</v>
      </c>
      <c r="F117" s="51">
        <f t="shared" si="1"/>
        <v>3.9263893436195492E-3</v>
      </c>
    </row>
    <row r="118" spans="1:6" x14ac:dyDescent="0.35">
      <c r="A118" s="1">
        <v>116</v>
      </c>
      <c r="B118" s="69"/>
      <c r="C118" s="25">
        <v>2021</v>
      </c>
      <c r="D118" s="52">
        <v>8666525828600</v>
      </c>
      <c r="E118" s="53">
        <f t="shared" si="10"/>
        <v>7637524325854</v>
      </c>
      <c r="F118" s="51">
        <f t="shared" si="1"/>
        <v>0.13472971853754989</v>
      </c>
    </row>
    <row r="119" spans="1:6" x14ac:dyDescent="0.35">
      <c r="A119" s="1">
        <v>117</v>
      </c>
      <c r="B119" s="70" t="s">
        <v>87</v>
      </c>
      <c r="C119" s="25">
        <v>2018</v>
      </c>
      <c r="D119" s="52">
        <v>23313671252000</v>
      </c>
      <c r="E119" s="52">
        <v>16322593372000</v>
      </c>
      <c r="F119" s="51">
        <f t="shared" si="1"/>
        <v>0.42830680889181438</v>
      </c>
    </row>
    <row r="120" spans="1:6" x14ac:dyDescent="0.35">
      <c r="A120" s="1">
        <v>118</v>
      </c>
      <c r="B120" s="70"/>
      <c r="C120" s="25">
        <v>2019</v>
      </c>
      <c r="D120" s="52">
        <v>27067922912000</v>
      </c>
      <c r="E120" s="53">
        <f>D119</f>
        <v>23313671252000</v>
      </c>
      <c r="F120" s="51">
        <f t="shared" si="1"/>
        <v>0.1610321952051175</v>
      </c>
    </row>
    <row r="121" spans="1:6" x14ac:dyDescent="0.35">
      <c r="A121" s="1">
        <v>119</v>
      </c>
      <c r="B121" s="70"/>
      <c r="C121" s="25">
        <v>2020</v>
      </c>
      <c r="D121" s="52">
        <v>28015492262000</v>
      </c>
      <c r="E121" s="53">
        <f t="shared" ref="E121:E122" si="11">D120</f>
        <v>27067922912000</v>
      </c>
      <c r="F121" s="51">
        <f t="shared" si="1"/>
        <v>3.5007095043111523E-2</v>
      </c>
    </row>
    <row r="122" spans="1:6" x14ac:dyDescent="0.35">
      <c r="A122" s="1">
        <v>120</v>
      </c>
      <c r="B122" s="70"/>
      <c r="C122" s="25">
        <v>2021</v>
      </c>
      <c r="D122" s="52">
        <v>16866522655000</v>
      </c>
      <c r="E122" s="53">
        <f t="shared" si="11"/>
        <v>28015492262000</v>
      </c>
      <c r="F122" s="51">
        <f t="shared" si="1"/>
        <v>-0.39795729815257885</v>
      </c>
    </row>
    <row r="123" spans="1:6" x14ac:dyDescent="0.35">
      <c r="A123" s="1">
        <v>121</v>
      </c>
      <c r="B123" s="70" t="s">
        <v>88</v>
      </c>
      <c r="C123" s="25">
        <v>2018</v>
      </c>
      <c r="D123" s="52">
        <v>30748742000000</v>
      </c>
      <c r="E123" s="52">
        <v>30404078000000</v>
      </c>
      <c r="F123" s="51">
        <f t="shared" si="1"/>
        <v>1.1336110899333965E-2</v>
      </c>
    </row>
    <row r="124" spans="1:6" x14ac:dyDescent="0.35">
      <c r="A124" s="1">
        <v>122</v>
      </c>
      <c r="B124" s="70"/>
      <c r="C124" s="25">
        <v>2019</v>
      </c>
      <c r="D124" s="52">
        <v>36559556000000</v>
      </c>
      <c r="E124" s="53">
        <f>D123</f>
        <v>30748742000000</v>
      </c>
      <c r="F124" s="51">
        <f t="shared" si="1"/>
        <v>0.18897729214417944</v>
      </c>
    </row>
    <row r="125" spans="1:6" x14ac:dyDescent="0.35">
      <c r="A125" s="1">
        <v>123</v>
      </c>
      <c r="B125" s="70"/>
      <c r="C125" s="25">
        <v>2020</v>
      </c>
      <c r="D125" s="52">
        <v>44612045000000</v>
      </c>
      <c r="E125" s="53">
        <f t="shared" ref="E125:E126" si="12">D124</f>
        <v>36559556000000</v>
      </c>
      <c r="F125" s="51">
        <f t="shared" si="1"/>
        <v>0.22025675038285475</v>
      </c>
    </row>
    <row r="126" spans="1:6" x14ac:dyDescent="0.35">
      <c r="A126" s="1">
        <v>124</v>
      </c>
      <c r="B126" s="70"/>
      <c r="C126" s="25">
        <v>2021</v>
      </c>
      <c r="D126" s="52">
        <v>52267198100000</v>
      </c>
      <c r="E126" s="53">
        <f t="shared" si="12"/>
        <v>44612045000000</v>
      </c>
      <c r="F126" s="51">
        <f t="shared" si="1"/>
        <v>0.17159386215090566</v>
      </c>
    </row>
    <row r="127" spans="1:6" x14ac:dyDescent="0.35">
      <c r="A127" s="1">
        <v>125</v>
      </c>
      <c r="B127" s="70" t="s">
        <v>89</v>
      </c>
      <c r="C127" s="25">
        <v>2018</v>
      </c>
      <c r="D127" s="52">
        <v>26025188000000</v>
      </c>
      <c r="E127" s="52">
        <v>27727008000000</v>
      </c>
      <c r="F127" s="51">
        <f t="shared" si="1"/>
        <v>-6.1377700760211845E-2</v>
      </c>
    </row>
    <row r="128" spans="1:6" x14ac:dyDescent="0.35">
      <c r="A128" s="1">
        <v>126</v>
      </c>
      <c r="B128" s="70"/>
      <c r="C128" s="25">
        <v>2019</v>
      </c>
      <c r="D128" s="52">
        <v>25532041000000</v>
      </c>
      <c r="E128" s="53">
        <f>D127</f>
        <v>26025188000000</v>
      </c>
      <c r="F128" s="51">
        <f t="shared" si="1"/>
        <v>-1.8948835259134343E-2</v>
      </c>
    </row>
    <row r="129" spans="1:6" x14ac:dyDescent="0.35">
      <c r="A129" s="1">
        <v>127</v>
      </c>
      <c r="B129" s="70"/>
      <c r="C129" s="25">
        <v>2020</v>
      </c>
      <c r="D129" s="52">
        <v>30526965000000</v>
      </c>
      <c r="E129" s="53">
        <f t="shared" ref="E129:E130" si="13">D128</f>
        <v>25532041000000</v>
      </c>
      <c r="F129" s="51">
        <f t="shared" si="1"/>
        <v>0.19563355706658939</v>
      </c>
    </row>
    <row r="130" spans="1:6" x14ac:dyDescent="0.35">
      <c r="A130" s="1">
        <v>128</v>
      </c>
      <c r="B130" s="70"/>
      <c r="C130" s="25">
        <v>2021</v>
      </c>
      <c r="D130" s="52">
        <v>26127820000000</v>
      </c>
      <c r="E130" s="53">
        <f t="shared" si="13"/>
        <v>30526965000000</v>
      </c>
      <c r="F130" s="51">
        <f t="shared" si="1"/>
        <v>-0.14410685765846687</v>
      </c>
    </row>
    <row r="131" spans="1:6" x14ac:dyDescent="0.35">
      <c r="A131" s="1">
        <v>133</v>
      </c>
      <c r="B131" s="70" t="s">
        <v>90</v>
      </c>
      <c r="C131" s="25">
        <v>2018</v>
      </c>
      <c r="D131" s="52">
        <v>83761946000000</v>
      </c>
      <c r="E131" s="52">
        <v>82297010000000</v>
      </c>
      <c r="F131" s="51">
        <f t="shared" ref="F131:F142" si="14">(D131-E131)/E131</f>
        <v>1.7800598101923751E-2</v>
      </c>
    </row>
    <row r="132" spans="1:6" x14ac:dyDescent="0.35">
      <c r="A132" s="1">
        <v>134</v>
      </c>
      <c r="B132" s="70"/>
      <c r="C132" s="25">
        <v>2019</v>
      </c>
      <c r="D132" s="52">
        <v>100803831000000</v>
      </c>
      <c r="E132" s="53">
        <f>D131</f>
        <v>83761946000000</v>
      </c>
      <c r="F132" s="51">
        <f t="shared" si="14"/>
        <v>0.20345617328422622</v>
      </c>
    </row>
    <row r="133" spans="1:6" x14ac:dyDescent="0.35">
      <c r="A133" s="1">
        <v>135</v>
      </c>
      <c r="B133" s="70"/>
      <c r="C133" s="25">
        <v>2020</v>
      </c>
      <c r="D133" s="52">
        <v>112202653000000</v>
      </c>
      <c r="E133" s="53">
        <f t="shared" ref="E133:E134" si="15">D132</f>
        <v>100803831000000</v>
      </c>
      <c r="F133" s="51">
        <f t="shared" si="14"/>
        <v>0.11307925390256249</v>
      </c>
    </row>
    <row r="134" spans="1:6" x14ac:dyDescent="0.35">
      <c r="A134" s="1">
        <v>136</v>
      </c>
      <c r="B134" s="70"/>
      <c r="C134" s="25">
        <v>2021</v>
      </c>
      <c r="D134" s="52">
        <v>132879390000000</v>
      </c>
      <c r="E134" s="53">
        <f t="shared" si="15"/>
        <v>112202653000000</v>
      </c>
      <c r="F134" s="51">
        <f t="shared" si="14"/>
        <v>0.18428028613548023</v>
      </c>
    </row>
    <row r="135" spans="1:6" x14ac:dyDescent="0.35">
      <c r="A135" s="1">
        <v>137</v>
      </c>
      <c r="B135" s="70" t="s">
        <v>91</v>
      </c>
      <c r="C135" s="25">
        <v>2018</v>
      </c>
      <c r="D135" s="52">
        <v>2468609628000</v>
      </c>
      <c r="E135" s="52">
        <v>3034342412000</v>
      </c>
      <c r="F135" s="51">
        <f t="shared" si="14"/>
        <v>-0.1864432905669052</v>
      </c>
    </row>
    <row r="136" spans="1:6" x14ac:dyDescent="0.35">
      <c r="A136" s="1">
        <v>138</v>
      </c>
      <c r="B136" s="70"/>
      <c r="C136" s="25">
        <v>2019</v>
      </c>
      <c r="D136" s="52">
        <v>3050556600000</v>
      </c>
      <c r="E136" s="53">
        <f>D135</f>
        <v>2468609628000</v>
      </c>
      <c r="F136" s="51">
        <f t="shared" si="14"/>
        <v>0.23573875974528929</v>
      </c>
    </row>
    <row r="137" spans="1:6" x14ac:dyDescent="0.35">
      <c r="A137" s="1">
        <v>139</v>
      </c>
      <c r="B137" s="70"/>
      <c r="C137" s="25">
        <v>2020</v>
      </c>
      <c r="D137" s="52">
        <v>2676388593000</v>
      </c>
      <c r="E137" s="53">
        <f t="shared" ref="E137:E138" si="16">D136</f>
        <v>3050556600000</v>
      </c>
      <c r="F137" s="51">
        <f t="shared" si="14"/>
        <v>-0.12265565143095526</v>
      </c>
    </row>
    <row r="138" spans="1:6" x14ac:dyDescent="0.35">
      <c r="A138" s="1">
        <v>140</v>
      </c>
      <c r="B138" s="70"/>
      <c r="C138" s="25">
        <v>2021</v>
      </c>
      <c r="D138" s="52">
        <v>1819841840000</v>
      </c>
      <c r="E138" s="53">
        <f t="shared" si="16"/>
        <v>2676388593000</v>
      </c>
      <c r="F138" s="51">
        <f t="shared" si="14"/>
        <v>-0.32003826172337896</v>
      </c>
    </row>
    <row r="139" spans="1:6" x14ac:dyDescent="0.35">
      <c r="A139" s="1">
        <v>141</v>
      </c>
      <c r="B139" s="70" t="s">
        <v>92</v>
      </c>
      <c r="C139" s="25">
        <v>2018</v>
      </c>
      <c r="D139" s="52">
        <v>173582894000000</v>
      </c>
      <c r="E139" s="52">
        <v>153773957000000</v>
      </c>
      <c r="F139" s="51">
        <f t="shared" si="14"/>
        <v>0.12881854240116875</v>
      </c>
    </row>
    <row r="140" spans="1:6" x14ac:dyDescent="0.35">
      <c r="A140" s="1">
        <v>142</v>
      </c>
      <c r="B140" s="70"/>
      <c r="C140" s="25">
        <v>2019</v>
      </c>
      <c r="D140" s="52">
        <v>180706987000000</v>
      </c>
      <c r="E140" s="53">
        <f>D139</f>
        <v>173582894000000</v>
      </c>
      <c r="F140" s="51">
        <f t="shared" si="14"/>
        <v>4.1041446169229091E-2</v>
      </c>
    </row>
    <row r="141" spans="1:6" x14ac:dyDescent="0.35">
      <c r="A141" s="1">
        <v>143</v>
      </c>
      <c r="B141" s="70"/>
      <c r="C141" s="25">
        <v>2020</v>
      </c>
      <c r="D141" s="52">
        <v>206297200000000</v>
      </c>
      <c r="E141" s="53">
        <f t="shared" ref="E141:E142" si="17">D140</f>
        <v>180706987000000</v>
      </c>
      <c r="F141" s="51">
        <f t="shared" si="14"/>
        <v>0.1416116411702443</v>
      </c>
    </row>
    <row r="142" spans="1:6" x14ac:dyDescent="0.35">
      <c r="A142" s="1">
        <v>144</v>
      </c>
      <c r="B142" s="70"/>
      <c r="C142" s="25">
        <v>2021</v>
      </c>
      <c r="D142" s="52">
        <v>214395608000000</v>
      </c>
      <c r="E142" s="53">
        <f t="shared" si="17"/>
        <v>206297200000000</v>
      </c>
      <c r="F142" s="51">
        <f t="shared" si="14"/>
        <v>3.9256024803051133E-2</v>
      </c>
    </row>
  </sheetData>
  <mergeCells count="35">
    <mergeCell ref="B23:B26"/>
    <mergeCell ref="B3:B6"/>
    <mergeCell ref="B7:B10"/>
    <mergeCell ref="B11:B14"/>
    <mergeCell ref="B15:B18"/>
    <mergeCell ref="B19:B22"/>
    <mergeCell ref="B71:B74"/>
    <mergeCell ref="B27:B30"/>
    <mergeCell ref="B31:B34"/>
    <mergeCell ref="B35:B38"/>
    <mergeCell ref="B39:B42"/>
    <mergeCell ref="B43:B46"/>
    <mergeCell ref="B47:B50"/>
    <mergeCell ref="B51:B54"/>
    <mergeCell ref="B55:B58"/>
    <mergeCell ref="B59:B62"/>
    <mergeCell ref="B63:B66"/>
    <mergeCell ref="B67:B70"/>
    <mergeCell ref="B119:B122"/>
    <mergeCell ref="B75:B78"/>
    <mergeCell ref="B79:B82"/>
    <mergeCell ref="B83:B86"/>
    <mergeCell ref="B87:B90"/>
    <mergeCell ref="B91:B94"/>
    <mergeCell ref="B95:B98"/>
    <mergeCell ref="B99:B102"/>
    <mergeCell ref="B103:B106"/>
    <mergeCell ref="B107:B110"/>
    <mergeCell ref="B111:B114"/>
    <mergeCell ref="B115:B118"/>
    <mergeCell ref="B123:B126"/>
    <mergeCell ref="B127:B130"/>
    <mergeCell ref="B131:B134"/>
    <mergeCell ref="B135:B138"/>
    <mergeCell ref="B139:B14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4E1BC-758B-433C-9207-58F91BB98DE8}">
  <dimension ref="A1:F142"/>
  <sheetViews>
    <sheetView workbookViewId="0">
      <selection activeCell="J9" sqref="J9"/>
    </sheetView>
  </sheetViews>
  <sheetFormatPr defaultRowHeight="14.5" x14ac:dyDescent="0.35"/>
  <cols>
    <col min="4" max="4" width="19.54296875" bestFit="1" customWidth="1"/>
    <col min="5" max="5" width="19.81640625" bestFit="1" customWidth="1"/>
  </cols>
  <sheetData>
    <row r="1" spans="1:6" x14ac:dyDescent="0.35">
      <c r="A1" s="1" t="s">
        <v>0</v>
      </c>
      <c r="B1" s="1" t="s">
        <v>114</v>
      </c>
      <c r="C1" s="1" t="s">
        <v>2</v>
      </c>
      <c r="D1" s="1" t="s">
        <v>118</v>
      </c>
      <c r="E1" s="1" t="s">
        <v>119</v>
      </c>
      <c r="F1" s="1" t="s">
        <v>68</v>
      </c>
    </row>
    <row r="2" spans="1:6" x14ac:dyDescent="0.35">
      <c r="A2" s="1"/>
      <c r="B2" s="1"/>
      <c r="C2" s="1"/>
      <c r="D2" s="1"/>
      <c r="E2" s="1"/>
      <c r="F2" s="1" t="s">
        <v>99</v>
      </c>
    </row>
    <row r="3" spans="1:6" x14ac:dyDescent="0.35">
      <c r="A3" s="1">
        <v>1</v>
      </c>
      <c r="B3" s="70" t="s">
        <v>117</v>
      </c>
      <c r="C3" s="1">
        <v>2018</v>
      </c>
      <c r="D3" s="1">
        <v>2</v>
      </c>
      <c r="E3" s="1">
        <v>3</v>
      </c>
      <c r="F3" s="62">
        <f>D3/E3</f>
        <v>0.66666666666666663</v>
      </c>
    </row>
    <row r="4" spans="1:6" x14ac:dyDescent="0.35">
      <c r="A4" s="1">
        <v>2</v>
      </c>
      <c r="B4" s="70"/>
      <c r="C4" s="1">
        <v>2019</v>
      </c>
      <c r="D4" s="1">
        <v>2</v>
      </c>
      <c r="E4" s="1">
        <v>4</v>
      </c>
      <c r="F4" s="62">
        <f t="shared" ref="F4:F67" si="0">D4/E4</f>
        <v>0.5</v>
      </c>
    </row>
    <row r="5" spans="1:6" x14ac:dyDescent="0.35">
      <c r="A5" s="1">
        <v>3</v>
      </c>
      <c r="B5" s="70"/>
      <c r="C5" s="1">
        <v>2020</v>
      </c>
      <c r="D5" s="1">
        <v>2</v>
      </c>
      <c r="E5" s="1">
        <v>4</v>
      </c>
      <c r="F5" s="62">
        <f t="shared" si="0"/>
        <v>0.5</v>
      </c>
    </row>
    <row r="6" spans="1:6" x14ac:dyDescent="0.35">
      <c r="A6" s="1">
        <v>4</v>
      </c>
      <c r="B6" s="70"/>
      <c r="C6" s="1">
        <v>2021</v>
      </c>
      <c r="D6" s="1">
        <v>2</v>
      </c>
      <c r="E6" s="1">
        <v>4</v>
      </c>
      <c r="F6" s="62">
        <f t="shared" si="0"/>
        <v>0.5</v>
      </c>
    </row>
    <row r="7" spans="1:6" x14ac:dyDescent="0.35">
      <c r="A7" s="1">
        <v>5</v>
      </c>
      <c r="B7" s="71" t="s">
        <v>4</v>
      </c>
      <c r="C7" s="1">
        <v>2018</v>
      </c>
      <c r="D7" s="1">
        <v>3</v>
      </c>
      <c r="E7" s="1">
        <v>4</v>
      </c>
      <c r="F7" s="62">
        <f t="shared" si="0"/>
        <v>0.75</v>
      </c>
    </row>
    <row r="8" spans="1:6" x14ac:dyDescent="0.35">
      <c r="A8" s="1">
        <v>6</v>
      </c>
      <c r="B8" s="71"/>
      <c r="C8" s="1">
        <v>2019</v>
      </c>
      <c r="D8" s="1">
        <v>3</v>
      </c>
      <c r="E8" s="1">
        <v>4</v>
      </c>
      <c r="F8" s="62">
        <f t="shared" si="0"/>
        <v>0.75</v>
      </c>
    </row>
    <row r="9" spans="1:6" x14ac:dyDescent="0.35">
      <c r="A9" s="1">
        <v>7</v>
      </c>
      <c r="B9" s="71"/>
      <c r="C9" s="1">
        <v>2020</v>
      </c>
      <c r="D9" s="1">
        <v>2</v>
      </c>
      <c r="E9" s="1">
        <v>3</v>
      </c>
      <c r="F9" s="62">
        <f t="shared" si="0"/>
        <v>0.66666666666666663</v>
      </c>
    </row>
    <row r="10" spans="1:6" x14ac:dyDescent="0.35">
      <c r="A10" s="1">
        <v>8</v>
      </c>
      <c r="B10" s="71"/>
      <c r="C10" s="1">
        <v>2021</v>
      </c>
      <c r="D10" s="1">
        <v>2</v>
      </c>
      <c r="E10" s="1">
        <v>3</v>
      </c>
      <c r="F10" s="62">
        <f t="shared" si="0"/>
        <v>0.66666666666666663</v>
      </c>
    </row>
    <row r="11" spans="1:6" x14ac:dyDescent="0.35">
      <c r="A11" s="1">
        <v>9</v>
      </c>
      <c r="B11" s="71" t="s">
        <v>5</v>
      </c>
      <c r="C11" s="1">
        <v>2018</v>
      </c>
      <c r="D11" s="1">
        <v>5</v>
      </c>
      <c r="E11" s="1">
        <v>9</v>
      </c>
      <c r="F11" s="62">
        <f t="shared" si="0"/>
        <v>0.55555555555555558</v>
      </c>
    </row>
    <row r="12" spans="1:6" x14ac:dyDescent="0.35">
      <c r="A12" s="1">
        <v>10</v>
      </c>
      <c r="B12" s="71"/>
      <c r="C12" s="1">
        <v>2019</v>
      </c>
      <c r="D12" s="1">
        <v>5</v>
      </c>
      <c r="E12" s="1">
        <v>8</v>
      </c>
      <c r="F12" s="62">
        <f t="shared" si="0"/>
        <v>0.625</v>
      </c>
    </row>
    <row r="13" spans="1:6" x14ac:dyDescent="0.35">
      <c r="A13" s="1">
        <v>11</v>
      </c>
      <c r="B13" s="71"/>
      <c r="C13" s="1">
        <v>2020</v>
      </c>
      <c r="D13" s="1">
        <v>6</v>
      </c>
      <c r="E13" s="1">
        <v>10</v>
      </c>
      <c r="F13" s="62">
        <f t="shared" si="0"/>
        <v>0.6</v>
      </c>
    </row>
    <row r="14" spans="1:6" x14ac:dyDescent="0.35">
      <c r="A14" s="1">
        <v>12</v>
      </c>
      <c r="B14" s="71"/>
      <c r="C14" s="1">
        <v>2021</v>
      </c>
      <c r="D14" s="1">
        <v>7</v>
      </c>
      <c r="E14" s="1">
        <v>10</v>
      </c>
      <c r="F14" s="62">
        <f t="shared" si="0"/>
        <v>0.7</v>
      </c>
    </row>
    <row r="15" spans="1:6" x14ac:dyDescent="0.35">
      <c r="A15" s="1">
        <v>13</v>
      </c>
      <c r="B15" s="71" t="s">
        <v>6</v>
      </c>
      <c r="C15" s="1">
        <v>2018</v>
      </c>
      <c r="D15" s="1">
        <v>5</v>
      </c>
      <c r="E15" s="1">
        <v>9</v>
      </c>
      <c r="F15" s="62">
        <f t="shared" si="0"/>
        <v>0.55555555555555558</v>
      </c>
    </row>
    <row r="16" spans="1:6" x14ac:dyDescent="0.35">
      <c r="A16" s="1">
        <v>14</v>
      </c>
      <c r="B16" s="71"/>
      <c r="C16" s="1">
        <v>2019</v>
      </c>
      <c r="D16" s="1">
        <v>3</v>
      </c>
      <c r="E16" s="1">
        <v>6</v>
      </c>
      <c r="F16" s="62">
        <f t="shared" si="0"/>
        <v>0.5</v>
      </c>
    </row>
    <row r="17" spans="1:6" x14ac:dyDescent="0.35">
      <c r="A17" s="1">
        <v>15</v>
      </c>
      <c r="B17" s="71"/>
      <c r="C17" s="1">
        <v>2020</v>
      </c>
      <c r="D17" s="1">
        <v>3</v>
      </c>
      <c r="E17" s="1">
        <v>6</v>
      </c>
      <c r="F17" s="62">
        <f t="shared" si="0"/>
        <v>0.5</v>
      </c>
    </row>
    <row r="18" spans="1:6" x14ac:dyDescent="0.35">
      <c r="A18" s="1">
        <v>16</v>
      </c>
      <c r="B18" s="71"/>
      <c r="C18" s="1">
        <v>2021</v>
      </c>
      <c r="D18" s="1">
        <v>4</v>
      </c>
      <c r="E18" s="1">
        <v>7</v>
      </c>
      <c r="F18" s="62">
        <f t="shared" si="0"/>
        <v>0.5714285714285714</v>
      </c>
    </row>
    <row r="19" spans="1:6" x14ac:dyDescent="0.35">
      <c r="A19" s="1">
        <v>17</v>
      </c>
      <c r="B19" s="71" t="s">
        <v>7</v>
      </c>
      <c r="C19" s="1">
        <v>2018</v>
      </c>
      <c r="D19" s="1">
        <v>2</v>
      </c>
      <c r="E19" s="1">
        <v>6</v>
      </c>
      <c r="F19" s="62">
        <f t="shared" si="0"/>
        <v>0.33333333333333331</v>
      </c>
    </row>
    <row r="20" spans="1:6" x14ac:dyDescent="0.35">
      <c r="A20" s="1">
        <v>18</v>
      </c>
      <c r="B20" s="71"/>
      <c r="C20" s="1">
        <v>2019</v>
      </c>
      <c r="D20" s="1">
        <v>1</v>
      </c>
      <c r="E20" s="1">
        <v>3</v>
      </c>
      <c r="F20" s="62">
        <f t="shared" si="0"/>
        <v>0.33333333333333331</v>
      </c>
    </row>
    <row r="21" spans="1:6" x14ac:dyDescent="0.35">
      <c r="A21" s="1">
        <v>19</v>
      </c>
      <c r="B21" s="71"/>
      <c r="C21" s="1">
        <v>2020</v>
      </c>
      <c r="D21" s="1">
        <v>1</v>
      </c>
      <c r="E21" s="1">
        <v>3</v>
      </c>
      <c r="F21" s="62">
        <f t="shared" si="0"/>
        <v>0.33333333333333331</v>
      </c>
    </row>
    <row r="22" spans="1:6" x14ac:dyDescent="0.35">
      <c r="A22" s="1">
        <v>20</v>
      </c>
      <c r="B22" s="71"/>
      <c r="C22" s="1">
        <v>2021</v>
      </c>
      <c r="D22" s="1">
        <v>1</v>
      </c>
      <c r="E22" s="1">
        <v>3</v>
      </c>
      <c r="F22" s="62">
        <f t="shared" si="0"/>
        <v>0.33333333333333331</v>
      </c>
    </row>
    <row r="23" spans="1:6" x14ac:dyDescent="0.35">
      <c r="A23" s="1">
        <v>21</v>
      </c>
      <c r="B23" s="71" t="s">
        <v>8</v>
      </c>
      <c r="C23" s="1">
        <v>2018</v>
      </c>
      <c r="D23" s="1">
        <v>4</v>
      </c>
      <c r="E23" s="1">
        <v>8</v>
      </c>
      <c r="F23" s="62">
        <f t="shared" si="0"/>
        <v>0.5</v>
      </c>
    </row>
    <row r="24" spans="1:6" x14ac:dyDescent="0.35">
      <c r="A24" s="1">
        <v>22</v>
      </c>
      <c r="B24" s="71"/>
      <c r="C24" s="1">
        <v>2019</v>
      </c>
      <c r="D24" s="1">
        <v>4</v>
      </c>
      <c r="E24" s="1">
        <v>8</v>
      </c>
      <c r="F24" s="62">
        <f t="shared" si="0"/>
        <v>0.5</v>
      </c>
    </row>
    <row r="25" spans="1:6" x14ac:dyDescent="0.35">
      <c r="A25" s="1">
        <v>23</v>
      </c>
      <c r="B25" s="71"/>
      <c r="C25" s="1">
        <v>2020</v>
      </c>
      <c r="D25" s="1">
        <v>4</v>
      </c>
      <c r="E25" s="1">
        <v>8</v>
      </c>
      <c r="F25" s="62">
        <f t="shared" si="0"/>
        <v>0.5</v>
      </c>
    </row>
    <row r="26" spans="1:6" x14ac:dyDescent="0.35">
      <c r="A26" s="1">
        <v>24</v>
      </c>
      <c r="B26" s="71"/>
      <c r="C26" s="1">
        <v>2021</v>
      </c>
      <c r="D26" s="1">
        <v>4</v>
      </c>
      <c r="E26" s="1">
        <v>8</v>
      </c>
      <c r="F26" s="62">
        <f t="shared" si="0"/>
        <v>0.5</v>
      </c>
    </row>
    <row r="27" spans="1:6" x14ac:dyDescent="0.35">
      <c r="A27" s="1">
        <v>25</v>
      </c>
      <c r="B27" s="71" t="s">
        <v>9</v>
      </c>
      <c r="C27" s="1">
        <v>2018</v>
      </c>
      <c r="D27" s="1">
        <v>3</v>
      </c>
      <c r="E27" s="1">
        <v>6</v>
      </c>
      <c r="F27" s="62">
        <f t="shared" si="0"/>
        <v>0.5</v>
      </c>
    </row>
    <row r="28" spans="1:6" x14ac:dyDescent="0.35">
      <c r="A28" s="1">
        <v>26</v>
      </c>
      <c r="B28" s="71"/>
      <c r="C28" s="1">
        <v>2019</v>
      </c>
      <c r="D28" s="1">
        <v>3</v>
      </c>
      <c r="E28" s="1">
        <v>7</v>
      </c>
      <c r="F28" s="62">
        <f t="shared" si="0"/>
        <v>0.42857142857142855</v>
      </c>
    </row>
    <row r="29" spans="1:6" x14ac:dyDescent="0.35">
      <c r="A29" s="1">
        <v>27</v>
      </c>
      <c r="B29" s="71"/>
      <c r="C29" s="1">
        <v>2020</v>
      </c>
      <c r="D29" s="1">
        <v>3</v>
      </c>
      <c r="E29" s="1">
        <v>7</v>
      </c>
      <c r="F29" s="62">
        <f t="shared" si="0"/>
        <v>0.42857142857142855</v>
      </c>
    </row>
    <row r="30" spans="1:6" x14ac:dyDescent="0.35">
      <c r="A30" s="1">
        <v>28</v>
      </c>
      <c r="B30" s="71"/>
      <c r="C30" s="1">
        <v>2021</v>
      </c>
      <c r="D30" s="1">
        <v>2</v>
      </c>
      <c r="E30" s="1">
        <v>6</v>
      </c>
      <c r="F30" s="62">
        <f t="shared" si="0"/>
        <v>0.33333333333333331</v>
      </c>
    </row>
    <row r="31" spans="1:6" x14ac:dyDescent="0.35">
      <c r="A31" s="1">
        <v>29</v>
      </c>
      <c r="B31" s="71" t="s">
        <v>10</v>
      </c>
      <c r="C31" s="1">
        <v>2018</v>
      </c>
      <c r="D31" s="1">
        <v>2</v>
      </c>
      <c r="E31" s="1">
        <v>5</v>
      </c>
      <c r="F31" s="62">
        <f t="shared" si="0"/>
        <v>0.4</v>
      </c>
    </row>
    <row r="32" spans="1:6" x14ac:dyDescent="0.35">
      <c r="A32" s="1">
        <v>30</v>
      </c>
      <c r="B32" s="71"/>
      <c r="C32" s="1">
        <v>2019</v>
      </c>
      <c r="D32" s="1">
        <v>4</v>
      </c>
      <c r="E32" s="1">
        <v>8</v>
      </c>
      <c r="F32" s="62">
        <f t="shared" si="0"/>
        <v>0.5</v>
      </c>
    </row>
    <row r="33" spans="1:6" x14ac:dyDescent="0.35">
      <c r="A33" s="1">
        <v>31</v>
      </c>
      <c r="B33" s="71"/>
      <c r="C33" s="1">
        <v>2020</v>
      </c>
      <c r="D33" s="1">
        <v>2</v>
      </c>
      <c r="E33" s="1">
        <v>6</v>
      </c>
      <c r="F33" s="62">
        <f t="shared" si="0"/>
        <v>0.33333333333333331</v>
      </c>
    </row>
    <row r="34" spans="1:6" x14ac:dyDescent="0.35">
      <c r="A34" s="1">
        <v>32</v>
      </c>
      <c r="B34" s="71"/>
      <c r="C34" s="1">
        <v>2021</v>
      </c>
      <c r="D34" s="1">
        <v>3</v>
      </c>
      <c r="E34" s="1">
        <v>6</v>
      </c>
      <c r="F34" s="62">
        <f t="shared" si="0"/>
        <v>0.5</v>
      </c>
    </row>
    <row r="35" spans="1:6" x14ac:dyDescent="0.35">
      <c r="A35" s="1">
        <v>33</v>
      </c>
      <c r="B35" s="71" t="s">
        <v>11</v>
      </c>
      <c r="C35" s="1">
        <v>2018</v>
      </c>
      <c r="D35" s="1">
        <v>3</v>
      </c>
      <c r="E35" s="1">
        <v>6</v>
      </c>
      <c r="F35" s="62">
        <f t="shared" si="0"/>
        <v>0.5</v>
      </c>
    </row>
    <row r="36" spans="1:6" x14ac:dyDescent="0.35">
      <c r="A36" s="1">
        <v>34</v>
      </c>
      <c r="B36" s="71"/>
      <c r="C36" s="1">
        <v>2019</v>
      </c>
      <c r="D36" s="1">
        <v>3</v>
      </c>
      <c r="E36" s="1">
        <v>6</v>
      </c>
      <c r="F36" s="62">
        <f t="shared" si="0"/>
        <v>0.5</v>
      </c>
    </row>
    <row r="37" spans="1:6" x14ac:dyDescent="0.35">
      <c r="A37" s="1">
        <v>35</v>
      </c>
      <c r="B37" s="71"/>
      <c r="C37" s="1">
        <v>2020</v>
      </c>
      <c r="D37" s="1">
        <v>3</v>
      </c>
      <c r="E37" s="1">
        <v>6</v>
      </c>
      <c r="F37" s="62">
        <f t="shared" si="0"/>
        <v>0.5</v>
      </c>
    </row>
    <row r="38" spans="1:6" x14ac:dyDescent="0.35">
      <c r="A38" s="1">
        <v>36</v>
      </c>
      <c r="B38" s="71"/>
      <c r="C38" s="1">
        <v>2021</v>
      </c>
      <c r="D38" s="1">
        <v>4</v>
      </c>
      <c r="E38" s="1">
        <v>7</v>
      </c>
      <c r="F38" s="62">
        <f t="shared" si="0"/>
        <v>0.5714285714285714</v>
      </c>
    </row>
    <row r="39" spans="1:6" x14ac:dyDescent="0.35">
      <c r="A39" s="1">
        <v>37</v>
      </c>
      <c r="B39" s="71" t="s">
        <v>12</v>
      </c>
      <c r="C39" s="1">
        <v>2018</v>
      </c>
      <c r="D39" s="1">
        <v>4</v>
      </c>
      <c r="E39" s="1">
        <v>8</v>
      </c>
      <c r="F39" s="62">
        <f t="shared" si="0"/>
        <v>0.5</v>
      </c>
    </row>
    <row r="40" spans="1:6" x14ac:dyDescent="0.35">
      <c r="A40" s="1">
        <v>38</v>
      </c>
      <c r="B40" s="71"/>
      <c r="C40" s="1">
        <v>2019</v>
      </c>
      <c r="D40" s="1">
        <v>4</v>
      </c>
      <c r="E40" s="1">
        <v>8</v>
      </c>
      <c r="F40" s="62">
        <f t="shared" si="0"/>
        <v>0.5</v>
      </c>
    </row>
    <row r="41" spans="1:6" x14ac:dyDescent="0.35">
      <c r="A41" s="1">
        <v>39</v>
      </c>
      <c r="B41" s="71"/>
      <c r="C41" s="1">
        <v>2020</v>
      </c>
      <c r="D41" s="1">
        <v>4</v>
      </c>
      <c r="E41" s="1">
        <v>8</v>
      </c>
      <c r="F41" s="62">
        <f t="shared" si="0"/>
        <v>0.5</v>
      </c>
    </row>
    <row r="42" spans="1:6" x14ac:dyDescent="0.35">
      <c r="A42" s="1">
        <v>40</v>
      </c>
      <c r="B42" s="71"/>
      <c r="C42" s="1">
        <v>2021</v>
      </c>
      <c r="D42" s="1">
        <v>4</v>
      </c>
      <c r="E42" s="1">
        <v>7</v>
      </c>
      <c r="F42" s="62">
        <f t="shared" si="0"/>
        <v>0.5714285714285714</v>
      </c>
    </row>
    <row r="43" spans="1:6" x14ac:dyDescent="0.35">
      <c r="A43" s="1">
        <v>41</v>
      </c>
      <c r="B43" s="71" t="s">
        <v>13</v>
      </c>
      <c r="C43" s="1">
        <v>2018</v>
      </c>
      <c r="D43" s="1">
        <v>2</v>
      </c>
      <c r="E43" s="1">
        <v>6</v>
      </c>
      <c r="F43" s="62">
        <f t="shared" si="0"/>
        <v>0.33333333333333331</v>
      </c>
    </row>
    <row r="44" spans="1:6" x14ac:dyDescent="0.35">
      <c r="A44" s="1">
        <v>42</v>
      </c>
      <c r="B44" s="71"/>
      <c r="C44" s="1">
        <v>2019</v>
      </c>
      <c r="D44" s="1">
        <v>2</v>
      </c>
      <c r="E44" s="1">
        <v>6</v>
      </c>
      <c r="F44" s="62">
        <f t="shared" si="0"/>
        <v>0.33333333333333331</v>
      </c>
    </row>
    <row r="45" spans="1:6" x14ac:dyDescent="0.35">
      <c r="A45" s="1">
        <v>43</v>
      </c>
      <c r="B45" s="71"/>
      <c r="C45" s="1">
        <v>2020</v>
      </c>
      <c r="D45" s="1">
        <v>2</v>
      </c>
      <c r="E45" s="1">
        <v>6</v>
      </c>
      <c r="F45" s="62">
        <f t="shared" si="0"/>
        <v>0.33333333333333331</v>
      </c>
    </row>
    <row r="46" spans="1:6" x14ac:dyDescent="0.35">
      <c r="A46" s="1">
        <v>44</v>
      </c>
      <c r="B46" s="71"/>
      <c r="C46" s="1">
        <v>2021</v>
      </c>
      <c r="D46" s="1">
        <v>2</v>
      </c>
      <c r="E46" s="1">
        <v>6</v>
      </c>
      <c r="F46" s="62">
        <f t="shared" si="0"/>
        <v>0.33333333333333331</v>
      </c>
    </row>
    <row r="47" spans="1:6" x14ac:dyDescent="0.35">
      <c r="A47" s="1">
        <v>45</v>
      </c>
      <c r="B47" s="71" t="s">
        <v>14</v>
      </c>
      <c r="C47" s="1">
        <v>2018</v>
      </c>
      <c r="D47" s="1">
        <v>2</v>
      </c>
      <c r="E47" s="1">
        <v>3</v>
      </c>
      <c r="F47" s="62">
        <f t="shared" si="0"/>
        <v>0.66666666666666663</v>
      </c>
    </row>
    <row r="48" spans="1:6" x14ac:dyDescent="0.35">
      <c r="A48" s="1">
        <v>46</v>
      </c>
      <c r="B48" s="71"/>
      <c r="C48" s="1">
        <v>2019</v>
      </c>
      <c r="D48" s="1">
        <v>2</v>
      </c>
      <c r="E48" s="1">
        <v>3</v>
      </c>
      <c r="F48" s="62">
        <f t="shared" si="0"/>
        <v>0.66666666666666663</v>
      </c>
    </row>
    <row r="49" spans="1:6" x14ac:dyDescent="0.35">
      <c r="A49" s="1">
        <v>47</v>
      </c>
      <c r="B49" s="71"/>
      <c r="C49" s="1">
        <v>2020</v>
      </c>
      <c r="D49" s="1">
        <v>2</v>
      </c>
      <c r="E49" s="1">
        <v>3</v>
      </c>
      <c r="F49" s="62">
        <f t="shared" si="0"/>
        <v>0.66666666666666663</v>
      </c>
    </row>
    <row r="50" spans="1:6" x14ac:dyDescent="0.35">
      <c r="A50" s="1">
        <v>48</v>
      </c>
      <c r="B50" s="71"/>
      <c r="C50" s="1">
        <v>2021</v>
      </c>
      <c r="D50" s="1">
        <v>2</v>
      </c>
      <c r="E50" s="1">
        <v>3</v>
      </c>
      <c r="F50" s="62">
        <f t="shared" si="0"/>
        <v>0.66666666666666663</v>
      </c>
    </row>
    <row r="51" spans="1:6" x14ac:dyDescent="0.35">
      <c r="A51" s="1">
        <v>49</v>
      </c>
      <c r="B51" s="71" t="s">
        <v>15</v>
      </c>
      <c r="C51" s="1">
        <v>2018</v>
      </c>
      <c r="D51" s="1">
        <v>2</v>
      </c>
      <c r="E51" s="1">
        <v>4</v>
      </c>
      <c r="F51" s="62">
        <f t="shared" si="0"/>
        <v>0.5</v>
      </c>
    </row>
    <row r="52" spans="1:6" x14ac:dyDescent="0.35">
      <c r="A52" s="1">
        <v>50</v>
      </c>
      <c r="B52" s="71"/>
      <c r="C52" s="1">
        <v>2019</v>
      </c>
      <c r="D52" s="1">
        <v>2</v>
      </c>
      <c r="E52" s="1">
        <v>4</v>
      </c>
      <c r="F52" s="62">
        <f t="shared" si="0"/>
        <v>0.5</v>
      </c>
    </row>
    <row r="53" spans="1:6" x14ac:dyDescent="0.35">
      <c r="A53" s="1">
        <v>51</v>
      </c>
      <c r="B53" s="71"/>
      <c r="C53" s="1">
        <v>2020</v>
      </c>
      <c r="D53" s="1">
        <v>2</v>
      </c>
      <c r="E53" s="1">
        <v>4</v>
      </c>
      <c r="F53" s="62">
        <f t="shared" si="0"/>
        <v>0.5</v>
      </c>
    </row>
    <row r="54" spans="1:6" x14ac:dyDescent="0.35">
      <c r="A54" s="1">
        <v>52</v>
      </c>
      <c r="B54" s="71"/>
      <c r="C54" s="1">
        <v>2021</v>
      </c>
      <c r="D54" s="1">
        <v>1</v>
      </c>
      <c r="E54" s="1">
        <v>3</v>
      </c>
      <c r="F54" s="62">
        <f t="shared" si="0"/>
        <v>0.33333333333333331</v>
      </c>
    </row>
    <row r="55" spans="1:6" x14ac:dyDescent="0.35">
      <c r="A55" s="1">
        <v>53</v>
      </c>
      <c r="B55" s="71" t="s">
        <v>16</v>
      </c>
      <c r="C55" s="1">
        <v>2018</v>
      </c>
      <c r="D55" s="1">
        <v>1</v>
      </c>
      <c r="E55" s="1">
        <v>3</v>
      </c>
      <c r="F55" s="62">
        <f t="shared" si="0"/>
        <v>0.33333333333333331</v>
      </c>
    </row>
    <row r="56" spans="1:6" x14ac:dyDescent="0.35">
      <c r="A56" s="1">
        <v>54</v>
      </c>
      <c r="B56" s="71"/>
      <c r="C56" s="1">
        <v>2019</v>
      </c>
      <c r="D56" s="1">
        <v>1</v>
      </c>
      <c r="E56" s="1">
        <v>3</v>
      </c>
      <c r="F56" s="62">
        <f t="shared" si="0"/>
        <v>0.33333333333333331</v>
      </c>
    </row>
    <row r="57" spans="1:6" x14ac:dyDescent="0.35">
      <c r="A57" s="1">
        <v>55</v>
      </c>
      <c r="B57" s="71"/>
      <c r="C57" s="1">
        <v>2020</v>
      </c>
      <c r="D57" s="1">
        <v>2</v>
      </c>
      <c r="E57" s="1">
        <v>5</v>
      </c>
      <c r="F57" s="62">
        <f t="shared" si="0"/>
        <v>0.4</v>
      </c>
    </row>
    <row r="58" spans="1:6" x14ac:dyDescent="0.35">
      <c r="A58" s="1">
        <v>56</v>
      </c>
      <c r="B58" s="71"/>
      <c r="C58" s="1">
        <v>2021</v>
      </c>
      <c r="D58" s="1">
        <v>2</v>
      </c>
      <c r="E58" s="1">
        <v>5</v>
      </c>
      <c r="F58" s="62">
        <f t="shared" si="0"/>
        <v>0.4</v>
      </c>
    </row>
    <row r="59" spans="1:6" x14ac:dyDescent="0.35">
      <c r="A59" s="1">
        <v>57</v>
      </c>
      <c r="B59" s="71" t="s">
        <v>17</v>
      </c>
      <c r="C59" s="1">
        <v>2018</v>
      </c>
      <c r="D59" s="1">
        <v>3</v>
      </c>
      <c r="E59" s="1">
        <v>6</v>
      </c>
      <c r="F59" s="62">
        <f t="shared" si="0"/>
        <v>0.5</v>
      </c>
    </row>
    <row r="60" spans="1:6" x14ac:dyDescent="0.35">
      <c r="A60" s="1">
        <v>58</v>
      </c>
      <c r="B60" s="71"/>
      <c r="C60" s="1">
        <v>2019</v>
      </c>
      <c r="D60" s="1">
        <v>4</v>
      </c>
      <c r="E60" s="1">
        <v>6</v>
      </c>
      <c r="F60" s="62">
        <f t="shared" si="0"/>
        <v>0.66666666666666663</v>
      </c>
    </row>
    <row r="61" spans="1:6" x14ac:dyDescent="0.35">
      <c r="A61" s="1">
        <v>59</v>
      </c>
      <c r="B61" s="71"/>
      <c r="C61" s="1">
        <v>2020</v>
      </c>
      <c r="D61" s="1">
        <v>3</v>
      </c>
      <c r="E61" s="1">
        <v>6</v>
      </c>
      <c r="F61" s="62">
        <f t="shared" si="0"/>
        <v>0.5</v>
      </c>
    </row>
    <row r="62" spans="1:6" x14ac:dyDescent="0.35">
      <c r="A62" s="1">
        <v>60</v>
      </c>
      <c r="B62" s="71"/>
      <c r="C62" s="1">
        <v>2021</v>
      </c>
      <c r="D62" s="1">
        <v>1</v>
      </c>
      <c r="E62" s="1">
        <v>3</v>
      </c>
      <c r="F62" s="62">
        <f t="shared" si="0"/>
        <v>0.33333333333333331</v>
      </c>
    </row>
    <row r="63" spans="1:6" x14ac:dyDescent="0.35">
      <c r="A63" s="1">
        <v>61</v>
      </c>
      <c r="B63" s="71" t="s">
        <v>18</v>
      </c>
      <c r="C63" s="1">
        <v>2018</v>
      </c>
      <c r="D63" s="1">
        <v>1</v>
      </c>
      <c r="E63" s="1">
        <v>2</v>
      </c>
      <c r="F63" s="62">
        <f t="shared" si="0"/>
        <v>0.5</v>
      </c>
    </row>
    <row r="64" spans="1:6" x14ac:dyDescent="0.35">
      <c r="A64" s="1">
        <v>62</v>
      </c>
      <c r="B64" s="71"/>
      <c r="C64" s="1">
        <v>2019</v>
      </c>
      <c r="D64" s="1">
        <v>1</v>
      </c>
      <c r="E64" s="1">
        <v>2</v>
      </c>
      <c r="F64" s="62">
        <f t="shared" si="0"/>
        <v>0.5</v>
      </c>
    </row>
    <row r="65" spans="1:6" x14ac:dyDescent="0.35">
      <c r="A65" s="1">
        <v>63</v>
      </c>
      <c r="B65" s="71"/>
      <c r="C65" s="1">
        <v>2020</v>
      </c>
      <c r="D65" s="1">
        <v>2</v>
      </c>
      <c r="E65" s="1">
        <v>3</v>
      </c>
      <c r="F65" s="62">
        <f t="shared" si="0"/>
        <v>0.66666666666666663</v>
      </c>
    </row>
    <row r="66" spans="1:6" x14ac:dyDescent="0.35">
      <c r="A66" s="1">
        <v>64</v>
      </c>
      <c r="B66" s="71"/>
      <c r="C66" s="1">
        <v>2021</v>
      </c>
      <c r="D66" s="1">
        <v>2</v>
      </c>
      <c r="E66" s="1">
        <v>3</v>
      </c>
      <c r="F66" s="62">
        <f t="shared" si="0"/>
        <v>0.66666666666666663</v>
      </c>
    </row>
    <row r="67" spans="1:6" x14ac:dyDescent="0.35">
      <c r="A67" s="1">
        <v>65</v>
      </c>
      <c r="B67" s="71" t="s">
        <v>19</v>
      </c>
      <c r="C67" s="1">
        <v>2018</v>
      </c>
      <c r="D67" s="1">
        <v>1</v>
      </c>
      <c r="E67" s="1">
        <v>3</v>
      </c>
      <c r="F67" s="62">
        <f t="shared" si="0"/>
        <v>0.33333333333333331</v>
      </c>
    </row>
    <row r="68" spans="1:6" x14ac:dyDescent="0.35">
      <c r="A68" s="1">
        <v>66</v>
      </c>
      <c r="B68" s="71"/>
      <c r="C68" s="1">
        <v>2019</v>
      </c>
      <c r="D68" s="1">
        <v>1</v>
      </c>
      <c r="E68" s="1">
        <v>3</v>
      </c>
      <c r="F68" s="62">
        <f t="shared" ref="F68:F130" si="1">D68/E68</f>
        <v>0.33333333333333331</v>
      </c>
    </row>
    <row r="69" spans="1:6" x14ac:dyDescent="0.35">
      <c r="A69" s="1">
        <v>67</v>
      </c>
      <c r="B69" s="71"/>
      <c r="C69" s="1">
        <v>2020</v>
      </c>
      <c r="D69" s="1">
        <v>1</v>
      </c>
      <c r="E69" s="1">
        <v>3</v>
      </c>
      <c r="F69" s="62">
        <f t="shared" si="1"/>
        <v>0.33333333333333331</v>
      </c>
    </row>
    <row r="70" spans="1:6" x14ac:dyDescent="0.35">
      <c r="A70" s="1">
        <v>68</v>
      </c>
      <c r="B70" s="71"/>
      <c r="C70" s="1">
        <v>2021</v>
      </c>
      <c r="D70" s="1">
        <v>1</v>
      </c>
      <c r="E70" s="1">
        <v>4</v>
      </c>
      <c r="F70" s="62">
        <f t="shared" si="1"/>
        <v>0.25</v>
      </c>
    </row>
    <row r="71" spans="1:6" x14ac:dyDescent="0.35">
      <c r="A71" s="1">
        <v>69</v>
      </c>
      <c r="B71" s="71" t="s">
        <v>20</v>
      </c>
      <c r="C71" s="1">
        <v>2018</v>
      </c>
      <c r="D71" s="1">
        <v>3</v>
      </c>
      <c r="E71" s="1">
        <v>4</v>
      </c>
      <c r="F71" s="62">
        <f t="shared" si="1"/>
        <v>0.75</v>
      </c>
    </row>
    <row r="72" spans="1:6" x14ac:dyDescent="0.35">
      <c r="A72" s="1">
        <v>70</v>
      </c>
      <c r="B72" s="71"/>
      <c r="C72" s="1">
        <v>2019</v>
      </c>
      <c r="D72" s="1">
        <v>2</v>
      </c>
      <c r="E72" s="1">
        <v>4</v>
      </c>
      <c r="F72" s="62">
        <f t="shared" si="1"/>
        <v>0.5</v>
      </c>
    </row>
    <row r="73" spans="1:6" x14ac:dyDescent="0.35">
      <c r="A73" s="1">
        <v>71</v>
      </c>
      <c r="B73" s="71"/>
      <c r="C73" s="1">
        <v>2020</v>
      </c>
      <c r="D73" s="1">
        <v>2</v>
      </c>
      <c r="E73" s="1">
        <v>4</v>
      </c>
      <c r="F73" s="62">
        <f t="shared" si="1"/>
        <v>0.5</v>
      </c>
    </row>
    <row r="74" spans="1:6" x14ac:dyDescent="0.35">
      <c r="A74" s="1">
        <v>72</v>
      </c>
      <c r="B74" s="71"/>
      <c r="C74" s="1">
        <v>2021</v>
      </c>
      <c r="D74" s="1">
        <v>2</v>
      </c>
      <c r="E74" s="1">
        <v>3</v>
      </c>
      <c r="F74" s="62">
        <f t="shared" si="1"/>
        <v>0.66666666666666663</v>
      </c>
    </row>
    <row r="75" spans="1:6" x14ac:dyDescent="0.35">
      <c r="A75" s="1">
        <v>73</v>
      </c>
      <c r="B75" s="71" t="s">
        <v>21</v>
      </c>
      <c r="C75" s="1">
        <v>2018</v>
      </c>
      <c r="D75" s="1">
        <v>2</v>
      </c>
      <c r="E75" s="1">
        <v>5</v>
      </c>
      <c r="F75" s="62">
        <f t="shared" si="1"/>
        <v>0.4</v>
      </c>
    </row>
    <row r="76" spans="1:6" x14ac:dyDescent="0.35">
      <c r="A76" s="1">
        <v>74</v>
      </c>
      <c r="B76" s="71"/>
      <c r="C76" s="1">
        <v>2019</v>
      </c>
      <c r="D76" s="1">
        <v>2</v>
      </c>
      <c r="E76" s="1">
        <v>5</v>
      </c>
      <c r="F76" s="62">
        <f t="shared" si="1"/>
        <v>0.4</v>
      </c>
    </row>
    <row r="77" spans="1:6" x14ac:dyDescent="0.35">
      <c r="A77" s="1">
        <v>75</v>
      </c>
      <c r="B77" s="71"/>
      <c r="C77" s="1">
        <v>2020</v>
      </c>
      <c r="D77" s="1">
        <v>2</v>
      </c>
      <c r="E77" s="1">
        <v>5</v>
      </c>
      <c r="F77" s="62">
        <f t="shared" si="1"/>
        <v>0.4</v>
      </c>
    </row>
    <row r="78" spans="1:6" x14ac:dyDescent="0.35">
      <c r="A78" s="1">
        <v>76</v>
      </c>
      <c r="B78" s="71"/>
      <c r="C78" s="1">
        <v>2021</v>
      </c>
      <c r="D78" s="1">
        <v>2</v>
      </c>
      <c r="E78" s="1">
        <v>5</v>
      </c>
      <c r="F78" s="62">
        <f t="shared" si="1"/>
        <v>0.4</v>
      </c>
    </row>
    <row r="79" spans="1:6" x14ac:dyDescent="0.35">
      <c r="A79" s="1">
        <v>77</v>
      </c>
      <c r="B79" s="71" t="s">
        <v>22</v>
      </c>
      <c r="C79" s="1">
        <v>2018</v>
      </c>
      <c r="D79" s="1">
        <v>2</v>
      </c>
      <c r="E79" s="1">
        <v>5</v>
      </c>
      <c r="F79" s="62">
        <f t="shared" si="1"/>
        <v>0.4</v>
      </c>
    </row>
    <row r="80" spans="1:6" x14ac:dyDescent="0.35">
      <c r="A80" s="1">
        <v>78</v>
      </c>
      <c r="B80" s="71"/>
      <c r="C80" s="1">
        <v>2019</v>
      </c>
      <c r="D80" s="1">
        <v>2</v>
      </c>
      <c r="E80" s="1">
        <v>5</v>
      </c>
      <c r="F80" s="62">
        <f t="shared" si="1"/>
        <v>0.4</v>
      </c>
    </row>
    <row r="81" spans="1:6" x14ac:dyDescent="0.35">
      <c r="A81" s="1">
        <v>79</v>
      </c>
      <c r="B81" s="71"/>
      <c r="C81" s="1">
        <v>2020</v>
      </c>
      <c r="D81" s="1">
        <v>2</v>
      </c>
      <c r="E81" s="1">
        <v>5</v>
      </c>
      <c r="F81" s="62">
        <f t="shared" si="1"/>
        <v>0.4</v>
      </c>
    </row>
    <row r="82" spans="1:6" x14ac:dyDescent="0.35">
      <c r="A82" s="1">
        <v>80</v>
      </c>
      <c r="B82" s="71"/>
      <c r="C82" s="1">
        <v>2021</v>
      </c>
      <c r="D82" s="1">
        <v>2</v>
      </c>
      <c r="E82" s="1">
        <v>5</v>
      </c>
      <c r="F82" s="62">
        <f t="shared" si="1"/>
        <v>0.4</v>
      </c>
    </row>
    <row r="83" spans="1:6" x14ac:dyDescent="0.35">
      <c r="A83" s="1">
        <v>81</v>
      </c>
      <c r="B83" s="70" t="s">
        <v>78</v>
      </c>
      <c r="C83" s="25">
        <v>2018</v>
      </c>
      <c r="D83" s="25">
        <v>2</v>
      </c>
      <c r="E83" s="25">
        <v>4</v>
      </c>
      <c r="F83" s="63">
        <f t="shared" si="1"/>
        <v>0.5</v>
      </c>
    </row>
    <row r="84" spans="1:6" x14ac:dyDescent="0.35">
      <c r="A84" s="1">
        <v>82</v>
      </c>
      <c r="B84" s="70"/>
      <c r="C84" s="25">
        <v>2019</v>
      </c>
      <c r="D84" s="25">
        <v>2</v>
      </c>
      <c r="E84" s="25">
        <v>4</v>
      </c>
      <c r="F84" s="63">
        <f t="shared" si="1"/>
        <v>0.5</v>
      </c>
    </row>
    <row r="85" spans="1:6" x14ac:dyDescent="0.35">
      <c r="A85" s="1">
        <v>83</v>
      </c>
      <c r="B85" s="70"/>
      <c r="C85" s="25">
        <v>2020</v>
      </c>
      <c r="D85" s="25">
        <v>2</v>
      </c>
      <c r="E85" s="25">
        <v>4</v>
      </c>
      <c r="F85" s="63">
        <f t="shared" si="1"/>
        <v>0.5</v>
      </c>
    </row>
    <row r="86" spans="1:6" x14ac:dyDescent="0.35">
      <c r="A86" s="1">
        <v>84</v>
      </c>
      <c r="B86" s="70"/>
      <c r="C86" s="25">
        <v>2021</v>
      </c>
      <c r="D86" s="25">
        <v>2</v>
      </c>
      <c r="E86" s="25">
        <v>4</v>
      </c>
      <c r="F86" s="63">
        <f t="shared" si="1"/>
        <v>0.5</v>
      </c>
    </row>
    <row r="87" spans="1:6" x14ac:dyDescent="0.35">
      <c r="A87" s="1">
        <v>85</v>
      </c>
      <c r="B87" s="70" t="s">
        <v>79</v>
      </c>
      <c r="C87" s="25">
        <v>2018</v>
      </c>
      <c r="D87" s="25">
        <v>3</v>
      </c>
      <c r="E87" s="25">
        <v>6</v>
      </c>
      <c r="F87" s="63">
        <f t="shared" si="1"/>
        <v>0.5</v>
      </c>
    </row>
    <row r="88" spans="1:6" x14ac:dyDescent="0.35">
      <c r="A88" s="1">
        <v>86</v>
      </c>
      <c r="B88" s="70"/>
      <c r="C88" s="25">
        <v>2019</v>
      </c>
      <c r="D88" s="25">
        <v>3</v>
      </c>
      <c r="E88" s="25">
        <v>8</v>
      </c>
      <c r="F88" s="63">
        <f t="shared" si="1"/>
        <v>0.375</v>
      </c>
    </row>
    <row r="89" spans="1:6" x14ac:dyDescent="0.35">
      <c r="A89" s="1">
        <v>87</v>
      </c>
      <c r="B89" s="70"/>
      <c r="C89" s="25">
        <v>2020</v>
      </c>
      <c r="D89" s="25">
        <v>3</v>
      </c>
      <c r="E89" s="25">
        <v>8</v>
      </c>
      <c r="F89" s="63">
        <f t="shared" si="1"/>
        <v>0.375</v>
      </c>
    </row>
    <row r="90" spans="1:6" x14ac:dyDescent="0.35">
      <c r="A90" s="1">
        <v>88</v>
      </c>
      <c r="B90" s="70"/>
      <c r="C90" s="25">
        <v>2021</v>
      </c>
      <c r="D90" s="25">
        <v>5</v>
      </c>
      <c r="E90" s="25">
        <v>8</v>
      </c>
      <c r="F90" s="63">
        <f t="shared" si="1"/>
        <v>0.625</v>
      </c>
    </row>
    <row r="91" spans="1:6" x14ac:dyDescent="0.35">
      <c r="A91" s="1">
        <v>89</v>
      </c>
      <c r="B91" s="70" t="s">
        <v>80</v>
      </c>
      <c r="C91" s="25">
        <v>2018</v>
      </c>
      <c r="D91" s="25">
        <v>2</v>
      </c>
      <c r="E91" s="25">
        <v>4</v>
      </c>
      <c r="F91" s="63">
        <f t="shared" si="1"/>
        <v>0.5</v>
      </c>
    </row>
    <row r="92" spans="1:6" x14ac:dyDescent="0.35">
      <c r="A92" s="1">
        <v>90</v>
      </c>
      <c r="B92" s="70"/>
      <c r="C92" s="25">
        <v>2019</v>
      </c>
      <c r="D92" s="25">
        <v>2</v>
      </c>
      <c r="E92" s="25">
        <v>4</v>
      </c>
      <c r="F92" s="63">
        <f t="shared" si="1"/>
        <v>0.5</v>
      </c>
    </row>
    <row r="93" spans="1:6" x14ac:dyDescent="0.35">
      <c r="A93" s="1">
        <v>91</v>
      </c>
      <c r="B93" s="70"/>
      <c r="C93" s="25">
        <v>2020</v>
      </c>
      <c r="D93" s="25">
        <v>2</v>
      </c>
      <c r="E93" s="25">
        <v>4</v>
      </c>
      <c r="F93" s="63">
        <f t="shared" si="1"/>
        <v>0.5</v>
      </c>
    </row>
    <row r="94" spans="1:6" x14ac:dyDescent="0.35">
      <c r="A94" s="1">
        <v>92</v>
      </c>
      <c r="B94" s="70"/>
      <c r="C94" s="25">
        <v>2021</v>
      </c>
      <c r="D94" s="25">
        <v>2</v>
      </c>
      <c r="E94" s="25">
        <v>4</v>
      </c>
      <c r="F94" s="63">
        <f t="shared" si="1"/>
        <v>0.5</v>
      </c>
    </row>
    <row r="95" spans="1:6" x14ac:dyDescent="0.35">
      <c r="A95" s="1">
        <v>93</v>
      </c>
      <c r="B95" s="70" t="s">
        <v>81</v>
      </c>
      <c r="C95" s="25">
        <v>2018</v>
      </c>
      <c r="D95" s="25">
        <v>5</v>
      </c>
      <c r="E95" s="25">
        <v>8</v>
      </c>
      <c r="F95" s="63">
        <f t="shared" si="1"/>
        <v>0.625</v>
      </c>
    </row>
    <row r="96" spans="1:6" x14ac:dyDescent="0.35">
      <c r="A96" s="1">
        <v>94</v>
      </c>
      <c r="B96" s="70"/>
      <c r="C96" s="25">
        <v>2019</v>
      </c>
      <c r="D96" s="25">
        <v>4</v>
      </c>
      <c r="E96" s="25">
        <v>8</v>
      </c>
      <c r="F96" s="63">
        <f t="shared" si="1"/>
        <v>0.5</v>
      </c>
    </row>
    <row r="97" spans="1:6" x14ac:dyDescent="0.35">
      <c r="A97" s="1">
        <v>95</v>
      </c>
      <c r="B97" s="70"/>
      <c r="C97" s="25">
        <v>2020</v>
      </c>
      <c r="D97" s="25">
        <v>5</v>
      </c>
      <c r="E97" s="25">
        <v>8</v>
      </c>
      <c r="F97" s="63">
        <f t="shared" si="1"/>
        <v>0.625</v>
      </c>
    </row>
    <row r="98" spans="1:6" x14ac:dyDescent="0.35">
      <c r="A98" s="1">
        <v>96</v>
      </c>
      <c r="B98" s="70"/>
      <c r="C98" s="25">
        <v>2021</v>
      </c>
      <c r="D98" s="25">
        <v>5</v>
      </c>
      <c r="E98" s="25">
        <v>10</v>
      </c>
      <c r="F98" s="63">
        <f t="shared" si="1"/>
        <v>0.5</v>
      </c>
    </row>
    <row r="99" spans="1:6" x14ac:dyDescent="0.35">
      <c r="A99" s="1">
        <v>97</v>
      </c>
      <c r="B99" s="70" t="s">
        <v>82</v>
      </c>
      <c r="C99" s="25">
        <v>2018</v>
      </c>
      <c r="D99" s="25">
        <v>2</v>
      </c>
      <c r="E99" s="25">
        <v>4</v>
      </c>
      <c r="F99" s="63">
        <f t="shared" si="1"/>
        <v>0.5</v>
      </c>
    </row>
    <row r="100" spans="1:6" x14ac:dyDescent="0.35">
      <c r="A100" s="1">
        <v>98</v>
      </c>
      <c r="B100" s="70"/>
      <c r="C100" s="25">
        <v>2019</v>
      </c>
      <c r="D100" s="25">
        <v>2</v>
      </c>
      <c r="E100" s="25">
        <v>4</v>
      </c>
      <c r="F100" s="63">
        <f t="shared" si="1"/>
        <v>0.5</v>
      </c>
    </row>
    <row r="101" spans="1:6" x14ac:dyDescent="0.35">
      <c r="A101" s="1">
        <v>99</v>
      </c>
      <c r="B101" s="70"/>
      <c r="C101" s="25">
        <v>2020</v>
      </c>
      <c r="D101" s="25">
        <v>2</v>
      </c>
      <c r="E101" s="25">
        <v>4</v>
      </c>
      <c r="F101" s="63">
        <f t="shared" si="1"/>
        <v>0.5</v>
      </c>
    </row>
    <row r="102" spans="1:6" x14ac:dyDescent="0.35">
      <c r="A102" s="1">
        <v>100</v>
      </c>
      <c r="B102" s="70"/>
      <c r="C102" s="25">
        <v>2021</v>
      </c>
      <c r="D102" s="25">
        <v>3</v>
      </c>
      <c r="E102" s="25">
        <v>4</v>
      </c>
      <c r="F102" s="63">
        <f t="shared" si="1"/>
        <v>0.75</v>
      </c>
    </row>
    <row r="103" spans="1:6" x14ac:dyDescent="0.35">
      <c r="A103" s="1">
        <v>101</v>
      </c>
      <c r="B103" s="70" t="s">
        <v>83</v>
      </c>
      <c r="C103" s="25">
        <v>2018</v>
      </c>
      <c r="D103" s="25">
        <v>2</v>
      </c>
      <c r="E103" s="25">
        <v>4</v>
      </c>
      <c r="F103" s="63">
        <f t="shared" si="1"/>
        <v>0.5</v>
      </c>
    </row>
    <row r="104" spans="1:6" x14ac:dyDescent="0.35">
      <c r="A104" s="1">
        <v>102</v>
      </c>
      <c r="B104" s="70"/>
      <c r="C104" s="25">
        <v>2019</v>
      </c>
      <c r="D104" s="25">
        <v>2</v>
      </c>
      <c r="E104" s="25">
        <v>5</v>
      </c>
      <c r="F104" s="63">
        <f t="shared" si="1"/>
        <v>0.4</v>
      </c>
    </row>
    <row r="105" spans="1:6" x14ac:dyDescent="0.35">
      <c r="A105" s="1">
        <v>103</v>
      </c>
      <c r="B105" s="70"/>
      <c r="C105" s="25">
        <v>2020</v>
      </c>
      <c r="D105" s="25">
        <v>2</v>
      </c>
      <c r="E105" s="25">
        <v>3</v>
      </c>
      <c r="F105" s="63">
        <f t="shared" si="1"/>
        <v>0.66666666666666663</v>
      </c>
    </row>
    <row r="106" spans="1:6" x14ac:dyDescent="0.35">
      <c r="A106" s="1">
        <v>104</v>
      </c>
      <c r="B106" s="70"/>
      <c r="C106" s="25">
        <v>2021</v>
      </c>
      <c r="D106" s="25">
        <v>2</v>
      </c>
      <c r="E106" s="25">
        <v>3</v>
      </c>
      <c r="F106" s="63">
        <f t="shared" si="1"/>
        <v>0.66666666666666663</v>
      </c>
    </row>
    <row r="107" spans="1:6" x14ac:dyDescent="0.35">
      <c r="A107" s="1">
        <v>105</v>
      </c>
      <c r="B107" s="70" t="s">
        <v>84</v>
      </c>
      <c r="C107" s="25">
        <v>2018</v>
      </c>
      <c r="D107" s="25">
        <v>2</v>
      </c>
      <c r="E107" s="25">
        <v>4</v>
      </c>
      <c r="F107" s="63">
        <f t="shared" si="1"/>
        <v>0.5</v>
      </c>
    </row>
    <row r="108" spans="1:6" x14ac:dyDescent="0.35">
      <c r="A108" s="1">
        <v>106</v>
      </c>
      <c r="B108" s="70"/>
      <c r="C108" s="25">
        <v>2019</v>
      </c>
      <c r="D108" s="25">
        <v>3</v>
      </c>
      <c r="E108" s="25">
        <v>6</v>
      </c>
      <c r="F108" s="63">
        <f t="shared" si="1"/>
        <v>0.5</v>
      </c>
    </row>
    <row r="109" spans="1:6" x14ac:dyDescent="0.35">
      <c r="A109" s="1">
        <v>107</v>
      </c>
      <c r="B109" s="70"/>
      <c r="C109" s="25">
        <v>2020</v>
      </c>
      <c r="D109" s="25">
        <v>3</v>
      </c>
      <c r="E109" s="25">
        <v>6</v>
      </c>
      <c r="F109" s="63">
        <f t="shared" si="1"/>
        <v>0.5</v>
      </c>
    </row>
    <row r="110" spans="1:6" x14ac:dyDescent="0.35">
      <c r="A110" s="1">
        <v>108</v>
      </c>
      <c r="B110" s="70"/>
      <c r="C110" s="25">
        <v>2021</v>
      </c>
      <c r="D110" s="25">
        <v>2</v>
      </c>
      <c r="E110" s="25">
        <v>3</v>
      </c>
      <c r="F110" s="63">
        <f t="shared" si="1"/>
        <v>0.66666666666666663</v>
      </c>
    </row>
    <row r="111" spans="1:6" x14ac:dyDescent="0.35">
      <c r="A111" s="1">
        <v>109</v>
      </c>
      <c r="B111" s="70" t="s">
        <v>85</v>
      </c>
      <c r="C111" s="25">
        <v>2018</v>
      </c>
      <c r="D111" s="25">
        <v>4</v>
      </c>
      <c r="E111" s="25">
        <v>8</v>
      </c>
      <c r="F111" s="63">
        <f t="shared" si="1"/>
        <v>0.5</v>
      </c>
    </row>
    <row r="112" spans="1:6" x14ac:dyDescent="0.35">
      <c r="A112" s="1">
        <v>110</v>
      </c>
      <c r="B112" s="70"/>
      <c r="C112" s="25">
        <v>2019</v>
      </c>
      <c r="D112" s="25">
        <v>4</v>
      </c>
      <c r="E112" s="25">
        <v>8</v>
      </c>
      <c r="F112" s="63">
        <f t="shared" si="1"/>
        <v>0.5</v>
      </c>
    </row>
    <row r="113" spans="1:6" x14ac:dyDescent="0.35">
      <c r="A113" s="1">
        <v>111</v>
      </c>
      <c r="B113" s="70"/>
      <c r="C113" s="25">
        <v>2020</v>
      </c>
      <c r="D113" s="25">
        <v>4</v>
      </c>
      <c r="E113" s="25">
        <v>8</v>
      </c>
      <c r="F113" s="63">
        <f t="shared" si="1"/>
        <v>0.5</v>
      </c>
    </row>
    <row r="114" spans="1:6" x14ac:dyDescent="0.35">
      <c r="A114" s="1">
        <v>112</v>
      </c>
      <c r="B114" s="70"/>
      <c r="C114" s="25">
        <v>2021</v>
      </c>
      <c r="D114" s="25">
        <v>4</v>
      </c>
      <c r="E114" s="25">
        <v>8</v>
      </c>
      <c r="F114" s="63">
        <f t="shared" si="1"/>
        <v>0.5</v>
      </c>
    </row>
    <row r="115" spans="1:6" x14ac:dyDescent="0.35">
      <c r="A115" s="1">
        <v>113</v>
      </c>
      <c r="B115" s="70" t="s">
        <v>86</v>
      </c>
      <c r="C115" s="25">
        <v>2018</v>
      </c>
      <c r="D115" s="25">
        <v>2</v>
      </c>
      <c r="E115" s="25">
        <v>3</v>
      </c>
      <c r="F115" s="63">
        <f t="shared" si="1"/>
        <v>0.66666666666666663</v>
      </c>
    </row>
    <row r="116" spans="1:6" x14ac:dyDescent="0.35">
      <c r="A116" s="1">
        <v>114</v>
      </c>
      <c r="B116" s="70"/>
      <c r="C116" s="25">
        <v>2019</v>
      </c>
      <c r="D116" s="25">
        <v>2</v>
      </c>
      <c r="E116" s="25">
        <v>3</v>
      </c>
      <c r="F116" s="63">
        <f t="shared" si="1"/>
        <v>0.66666666666666663</v>
      </c>
    </row>
    <row r="117" spans="1:6" x14ac:dyDescent="0.35">
      <c r="A117" s="1">
        <v>115</v>
      </c>
      <c r="B117" s="70"/>
      <c r="C117" s="25">
        <v>2020</v>
      </c>
      <c r="D117" s="25">
        <v>2</v>
      </c>
      <c r="E117" s="25">
        <v>3</v>
      </c>
      <c r="F117" s="63">
        <f t="shared" si="1"/>
        <v>0.66666666666666663</v>
      </c>
    </row>
    <row r="118" spans="1:6" x14ac:dyDescent="0.35">
      <c r="A118" s="1">
        <v>116</v>
      </c>
      <c r="B118" s="70"/>
      <c r="C118" s="25">
        <v>2021</v>
      </c>
      <c r="D118" s="25">
        <v>2</v>
      </c>
      <c r="E118" s="25">
        <v>3</v>
      </c>
      <c r="F118" s="63">
        <f t="shared" si="1"/>
        <v>0.66666666666666663</v>
      </c>
    </row>
    <row r="119" spans="1:6" x14ac:dyDescent="0.35">
      <c r="A119" s="1">
        <v>117</v>
      </c>
      <c r="B119" s="70" t="s">
        <v>87</v>
      </c>
      <c r="C119" s="25">
        <v>2018</v>
      </c>
      <c r="D119" s="25">
        <v>3</v>
      </c>
      <c r="E119" s="25">
        <v>4</v>
      </c>
      <c r="F119" s="63">
        <f t="shared" si="1"/>
        <v>0.75</v>
      </c>
    </row>
    <row r="120" spans="1:6" x14ac:dyDescent="0.35">
      <c r="A120" s="1">
        <v>118</v>
      </c>
      <c r="B120" s="70"/>
      <c r="C120" s="25">
        <v>2019</v>
      </c>
      <c r="D120" s="25">
        <v>2</v>
      </c>
      <c r="E120" s="25">
        <v>3</v>
      </c>
      <c r="F120" s="63">
        <f t="shared" si="1"/>
        <v>0.66666666666666663</v>
      </c>
    </row>
    <row r="121" spans="1:6" x14ac:dyDescent="0.35">
      <c r="A121" s="1">
        <v>119</v>
      </c>
      <c r="B121" s="70"/>
      <c r="C121" s="25">
        <v>2020</v>
      </c>
      <c r="D121" s="25">
        <v>2</v>
      </c>
      <c r="E121" s="25">
        <v>4</v>
      </c>
      <c r="F121" s="63">
        <f t="shared" si="1"/>
        <v>0.5</v>
      </c>
    </row>
    <row r="122" spans="1:6" x14ac:dyDescent="0.35">
      <c r="A122" s="1">
        <v>120</v>
      </c>
      <c r="B122" s="70"/>
      <c r="C122" s="25">
        <v>2021</v>
      </c>
      <c r="D122" s="25">
        <v>3</v>
      </c>
      <c r="E122" s="25">
        <v>5</v>
      </c>
      <c r="F122" s="63">
        <f t="shared" si="1"/>
        <v>0.6</v>
      </c>
    </row>
    <row r="123" spans="1:6" x14ac:dyDescent="0.35">
      <c r="A123" s="1">
        <v>121</v>
      </c>
      <c r="B123" s="70" t="s">
        <v>88</v>
      </c>
      <c r="C123" s="25">
        <v>2018</v>
      </c>
      <c r="D123" s="25">
        <v>2</v>
      </c>
      <c r="E123" s="25">
        <v>3</v>
      </c>
      <c r="F123" s="63">
        <f t="shared" si="1"/>
        <v>0.66666666666666663</v>
      </c>
    </row>
    <row r="124" spans="1:6" x14ac:dyDescent="0.35">
      <c r="A124" s="1">
        <v>122</v>
      </c>
      <c r="B124" s="70"/>
      <c r="C124" s="25">
        <v>2019</v>
      </c>
      <c r="D124" s="25">
        <v>2</v>
      </c>
      <c r="E124" s="25">
        <v>3</v>
      </c>
      <c r="F124" s="63">
        <f t="shared" si="1"/>
        <v>0.66666666666666663</v>
      </c>
    </row>
    <row r="125" spans="1:6" x14ac:dyDescent="0.35">
      <c r="A125" s="1">
        <v>123</v>
      </c>
      <c r="B125" s="70"/>
      <c r="C125" s="25">
        <v>2020</v>
      </c>
      <c r="D125" s="25">
        <v>2</v>
      </c>
      <c r="E125" s="25">
        <v>3</v>
      </c>
      <c r="F125" s="63">
        <f t="shared" si="1"/>
        <v>0.66666666666666663</v>
      </c>
    </row>
    <row r="126" spans="1:6" x14ac:dyDescent="0.35">
      <c r="A126" s="1">
        <v>124</v>
      </c>
      <c r="B126" s="70"/>
      <c r="C126" s="25">
        <v>2021</v>
      </c>
      <c r="D126" s="25">
        <v>2</v>
      </c>
      <c r="E126" s="25">
        <v>3</v>
      </c>
      <c r="F126" s="63">
        <f t="shared" si="1"/>
        <v>0.66666666666666663</v>
      </c>
    </row>
    <row r="127" spans="1:6" x14ac:dyDescent="0.35">
      <c r="A127" s="1">
        <v>125</v>
      </c>
      <c r="B127" s="70" t="s">
        <v>89</v>
      </c>
      <c r="C127" s="25">
        <v>2018</v>
      </c>
      <c r="D127" s="25">
        <v>3</v>
      </c>
      <c r="E127" s="25">
        <v>7</v>
      </c>
      <c r="F127" s="63">
        <f t="shared" si="1"/>
        <v>0.42857142857142855</v>
      </c>
    </row>
    <row r="128" spans="1:6" x14ac:dyDescent="0.35">
      <c r="A128" s="1">
        <v>126</v>
      </c>
      <c r="B128" s="70"/>
      <c r="C128" s="25">
        <v>2019</v>
      </c>
      <c r="D128" s="25">
        <v>3</v>
      </c>
      <c r="E128" s="25">
        <v>5</v>
      </c>
      <c r="F128" s="63">
        <f t="shared" si="1"/>
        <v>0.6</v>
      </c>
    </row>
    <row r="129" spans="1:6" x14ac:dyDescent="0.35">
      <c r="A129" s="1">
        <v>127</v>
      </c>
      <c r="B129" s="70"/>
      <c r="C129" s="25">
        <v>2020</v>
      </c>
      <c r="D129" s="25">
        <v>3</v>
      </c>
      <c r="E129" s="25">
        <v>5</v>
      </c>
      <c r="F129" s="63">
        <f t="shared" si="1"/>
        <v>0.6</v>
      </c>
    </row>
    <row r="130" spans="1:6" x14ac:dyDescent="0.35">
      <c r="A130" s="1">
        <v>128</v>
      </c>
      <c r="B130" s="70"/>
      <c r="C130" s="25">
        <v>2021</v>
      </c>
      <c r="D130" s="25">
        <v>3</v>
      </c>
      <c r="E130" s="25">
        <v>5</v>
      </c>
      <c r="F130" s="63">
        <f t="shared" si="1"/>
        <v>0.6</v>
      </c>
    </row>
    <row r="131" spans="1:6" x14ac:dyDescent="0.35">
      <c r="A131" s="1">
        <v>129</v>
      </c>
      <c r="B131" s="70" t="s">
        <v>90</v>
      </c>
      <c r="C131" s="25">
        <v>2018</v>
      </c>
      <c r="D131" s="25">
        <v>3</v>
      </c>
      <c r="E131" s="25">
        <v>6</v>
      </c>
      <c r="F131" s="63">
        <f t="shared" ref="F131:F142" si="2">D131/E131</f>
        <v>0.5</v>
      </c>
    </row>
    <row r="132" spans="1:6" x14ac:dyDescent="0.35">
      <c r="A132" s="1">
        <v>130</v>
      </c>
      <c r="B132" s="70"/>
      <c r="C132" s="25">
        <v>2019</v>
      </c>
      <c r="D132" s="25">
        <v>3</v>
      </c>
      <c r="E132" s="25">
        <v>5</v>
      </c>
      <c r="F132" s="63">
        <f t="shared" si="2"/>
        <v>0.6</v>
      </c>
    </row>
    <row r="133" spans="1:6" x14ac:dyDescent="0.35">
      <c r="A133" s="1">
        <v>131</v>
      </c>
      <c r="B133" s="70"/>
      <c r="C133" s="25">
        <v>2020</v>
      </c>
      <c r="D133" s="25">
        <v>3</v>
      </c>
      <c r="E133" s="25">
        <v>5</v>
      </c>
      <c r="F133" s="63">
        <f t="shared" si="2"/>
        <v>0.6</v>
      </c>
    </row>
    <row r="134" spans="1:6" x14ac:dyDescent="0.35">
      <c r="A134" s="1">
        <v>132</v>
      </c>
      <c r="B134" s="70"/>
      <c r="C134" s="25">
        <v>2021</v>
      </c>
      <c r="D134" s="25">
        <v>3</v>
      </c>
      <c r="E134" s="25">
        <v>5</v>
      </c>
      <c r="F134" s="63">
        <f t="shared" si="2"/>
        <v>0.6</v>
      </c>
    </row>
    <row r="135" spans="1:6" x14ac:dyDescent="0.35">
      <c r="A135" s="1">
        <v>133</v>
      </c>
      <c r="B135" s="70" t="s">
        <v>91</v>
      </c>
      <c r="C135" s="25">
        <v>2018</v>
      </c>
      <c r="D135" s="25">
        <v>3</v>
      </c>
      <c r="E135" s="25">
        <v>4</v>
      </c>
      <c r="F135" s="63">
        <f t="shared" si="2"/>
        <v>0.75</v>
      </c>
    </row>
    <row r="136" spans="1:6" x14ac:dyDescent="0.35">
      <c r="A136" s="1">
        <v>134</v>
      </c>
      <c r="B136" s="70"/>
      <c r="C136" s="25">
        <v>2019</v>
      </c>
      <c r="D136" s="25">
        <v>2</v>
      </c>
      <c r="E136" s="25">
        <v>3</v>
      </c>
      <c r="F136" s="63">
        <f t="shared" si="2"/>
        <v>0.66666666666666663</v>
      </c>
    </row>
    <row r="137" spans="1:6" x14ac:dyDescent="0.35">
      <c r="A137" s="1">
        <v>135</v>
      </c>
      <c r="B137" s="70"/>
      <c r="C137" s="25">
        <v>2020</v>
      </c>
      <c r="D137" s="25">
        <v>2</v>
      </c>
      <c r="E137" s="25">
        <v>3</v>
      </c>
      <c r="F137" s="63">
        <f t="shared" si="2"/>
        <v>0.66666666666666663</v>
      </c>
    </row>
    <row r="138" spans="1:6" x14ac:dyDescent="0.35">
      <c r="A138" s="1">
        <v>136</v>
      </c>
      <c r="B138" s="70"/>
      <c r="C138" s="25">
        <v>2021</v>
      </c>
      <c r="D138" s="25">
        <v>2</v>
      </c>
      <c r="E138" s="25">
        <v>3</v>
      </c>
      <c r="F138" s="63">
        <f t="shared" si="2"/>
        <v>0.66666666666666663</v>
      </c>
    </row>
    <row r="139" spans="1:6" x14ac:dyDescent="0.35">
      <c r="A139" s="1">
        <v>137</v>
      </c>
      <c r="B139" s="70" t="s">
        <v>92</v>
      </c>
      <c r="C139" s="25">
        <v>2018</v>
      </c>
      <c r="D139" s="25">
        <v>5</v>
      </c>
      <c r="E139" s="25">
        <v>8</v>
      </c>
      <c r="F139" s="63">
        <f t="shared" si="2"/>
        <v>0.625</v>
      </c>
    </row>
    <row r="140" spans="1:6" x14ac:dyDescent="0.35">
      <c r="A140" s="1">
        <v>138</v>
      </c>
      <c r="B140" s="70"/>
      <c r="C140" s="25">
        <v>2019</v>
      </c>
      <c r="D140" s="25">
        <v>6</v>
      </c>
      <c r="E140" s="25">
        <v>9</v>
      </c>
      <c r="F140" s="63">
        <f t="shared" si="2"/>
        <v>0.66666666666666663</v>
      </c>
    </row>
    <row r="141" spans="1:6" x14ac:dyDescent="0.35">
      <c r="A141" s="1">
        <v>139</v>
      </c>
      <c r="B141" s="70"/>
      <c r="C141" s="25">
        <v>2020</v>
      </c>
      <c r="D141" s="25">
        <v>5</v>
      </c>
      <c r="E141" s="25">
        <v>8</v>
      </c>
      <c r="F141" s="63">
        <f t="shared" si="2"/>
        <v>0.625</v>
      </c>
    </row>
    <row r="142" spans="1:6" x14ac:dyDescent="0.35">
      <c r="A142" s="1">
        <v>140</v>
      </c>
      <c r="B142" s="70"/>
      <c r="C142" s="25">
        <v>2021</v>
      </c>
      <c r="D142" s="25">
        <v>5</v>
      </c>
      <c r="E142" s="25">
        <v>8</v>
      </c>
      <c r="F142" s="63">
        <f t="shared" si="2"/>
        <v>0.625</v>
      </c>
    </row>
  </sheetData>
  <mergeCells count="35">
    <mergeCell ref="B23:B26"/>
    <mergeCell ref="B3:B6"/>
    <mergeCell ref="B7:B10"/>
    <mergeCell ref="B11:B14"/>
    <mergeCell ref="B15:B18"/>
    <mergeCell ref="B19:B22"/>
    <mergeCell ref="B71:B74"/>
    <mergeCell ref="B27:B30"/>
    <mergeCell ref="B31:B34"/>
    <mergeCell ref="B35:B38"/>
    <mergeCell ref="B39:B42"/>
    <mergeCell ref="B43:B46"/>
    <mergeCell ref="B47:B50"/>
    <mergeCell ref="B51:B54"/>
    <mergeCell ref="B55:B58"/>
    <mergeCell ref="B59:B62"/>
    <mergeCell ref="B63:B66"/>
    <mergeCell ref="B67:B70"/>
    <mergeCell ref="B119:B122"/>
    <mergeCell ref="B75:B78"/>
    <mergeCell ref="B79:B82"/>
    <mergeCell ref="B83:B86"/>
    <mergeCell ref="B87:B90"/>
    <mergeCell ref="B91:B94"/>
    <mergeCell ref="B95:B98"/>
    <mergeCell ref="B99:B102"/>
    <mergeCell ref="B103:B106"/>
    <mergeCell ref="B107:B110"/>
    <mergeCell ref="B111:B114"/>
    <mergeCell ref="B115:B118"/>
    <mergeCell ref="B123:B126"/>
    <mergeCell ref="B127:B130"/>
    <mergeCell ref="B131:B134"/>
    <mergeCell ref="B135:B138"/>
    <mergeCell ref="B139:B14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3F4CA-4CB2-46CD-9A89-5850DD5A01F7}">
  <dimension ref="A1:E142"/>
  <sheetViews>
    <sheetView workbookViewId="0">
      <selection activeCell="E3" sqref="E3"/>
    </sheetView>
  </sheetViews>
  <sheetFormatPr defaultRowHeight="14.5" x14ac:dyDescent="0.35"/>
  <cols>
    <col min="4" max="4" width="41.90625" customWidth="1"/>
    <col min="5" max="5" width="16.54296875" bestFit="1" customWidth="1"/>
  </cols>
  <sheetData>
    <row r="1" spans="1:5" x14ac:dyDescent="0.35">
      <c r="A1" s="1" t="s">
        <v>0</v>
      </c>
      <c r="B1" s="1" t="s">
        <v>114</v>
      </c>
      <c r="C1" s="1" t="s">
        <v>2</v>
      </c>
      <c r="D1" s="1" t="s">
        <v>120</v>
      </c>
      <c r="E1" s="25" t="s">
        <v>77</v>
      </c>
    </row>
    <row r="2" spans="1:5" x14ac:dyDescent="0.35">
      <c r="A2" s="1"/>
      <c r="B2" s="1"/>
      <c r="C2" s="1"/>
      <c r="D2" s="1"/>
      <c r="E2" s="25" t="s">
        <v>73</v>
      </c>
    </row>
    <row r="3" spans="1:5" x14ac:dyDescent="0.35">
      <c r="A3" s="1">
        <v>1</v>
      </c>
      <c r="B3" s="70" t="s">
        <v>117</v>
      </c>
      <c r="C3" s="1">
        <v>2018</v>
      </c>
      <c r="D3" s="9" t="s">
        <v>121</v>
      </c>
      <c r="E3" s="25">
        <v>0</v>
      </c>
    </row>
    <row r="4" spans="1:5" x14ac:dyDescent="0.35">
      <c r="A4" s="1">
        <v>2</v>
      </c>
      <c r="B4" s="70"/>
      <c r="C4" s="1">
        <v>2019</v>
      </c>
      <c r="D4" s="9" t="s">
        <v>122</v>
      </c>
      <c r="E4" s="25">
        <v>1</v>
      </c>
    </row>
    <row r="5" spans="1:5" x14ac:dyDescent="0.35">
      <c r="A5" s="1">
        <v>3</v>
      </c>
      <c r="B5" s="70"/>
      <c r="C5" s="1">
        <v>2020</v>
      </c>
      <c r="D5" s="9" t="s">
        <v>122</v>
      </c>
      <c r="E5" s="25">
        <v>0</v>
      </c>
    </row>
    <row r="6" spans="1:5" x14ac:dyDescent="0.35">
      <c r="A6" s="1">
        <v>4</v>
      </c>
      <c r="B6" s="70"/>
      <c r="C6" s="1">
        <v>2021</v>
      </c>
      <c r="D6" s="9" t="s">
        <v>122</v>
      </c>
      <c r="E6" s="25">
        <v>0</v>
      </c>
    </row>
    <row r="7" spans="1:5" x14ac:dyDescent="0.35">
      <c r="A7" s="1">
        <v>5</v>
      </c>
      <c r="B7" s="71" t="s">
        <v>4</v>
      </c>
      <c r="C7" s="1">
        <v>2018</v>
      </c>
      <c r="D7" s="9" t="s">
        <v>122</v>
      </c>
      <c r="E7" s="25">
        <v>0</v>
      </c>
    </row>
    <row r="8" spans="1:5" x14ac:dyDescent="0.35">
      <c r="A8" s="1">
        <v>6</v>
      </c>
      <c r="B8" s="71"/>
      <c r="C8" s="1">
        <v>2019</v>
      </c>
      <c r="D8" s="9" t="s">
        <v>122</v>
      </c>
      <c r="E8" s="25">
        <v>0</v>
      </c>
    </row>
    <row r="9" spans="1:5" x14ac:dyDescent="0.35">
      <c r="A9" s="1">
        <v>7</v>
      </c>
      <c r="B9" s="71"/>
      <c r="C9" s="1">
        <v>2020</v>
      </c>
      <c r="D9" s="9" t="s">
        <v>123</v>
      </c>
      <c r="E9" s="25">
        <v>1</v>
      </c>
    </row>
    <row r="10" spans="1:5" x14ac:dyDescent="0.35">
      <c r="A10" s="1">
        <v>8</v>
      </c>
      <c r="B10" s="71"/>
      <c r="C10" s="1">
        <v>2021</v>
      </c>
      <c r="D10" s="9" t="s">
        <v>124</v>
      </c>
      <c r="E10" s="25">
        <v>1</v>
      </c>
    </row>
    <row r="11" spans="1:5" x14ac:dyDescent="0.35">
      <c r="A11" s="1">
        <v>9</v>
      </c>
      <c r="B11" s="71" t="s">
        <v>5</v>
      </c>
      <c r="C11" s="1">
        <v>2018</v>
      </c>
      <c r="D11" s="9" t="s">
        <v>125</v>
      </c>
      <c r="E11" s="25">
        <v>0</v>
      </c>
    </row>
    <row r="12" spans="1:5" x14ac:dyDescent="0.35">
      <c r="A12" s="1">
        <v>10</v>
      </c>
      <c r="B12" s="71"/>
      <c r="C12" s="1">
        <v>2019</v>
      </c>
      <c r="D12" s="9" t="s">
        <v>125</v>
      </c>
      <c r="E12" s="25">
        <v>0</v>
      </c>
    </row>
    <row r="13" spans="1:5" x14ac:dyDescent="0.35">
      <c r="A13" s="1">
        <v>11</v>
      </c>
      <c r="B13" s="71"/>
      <c r="C13" s="1">
        <v>2020</v>
      </c>
      <c r="D13" s="9" t="s">
        <v>125</v>
      </c>
      <c r="E13" s="25">
        <v>0</v>
      </c>
    </row>
    <row r="14" spans="1:5" x14ac:dyDescent="0.35">
      <c r="A14" s="1">
        <v>12</v>
      </c>
      <c r="B14" s="71"/>
      <c r="C14" s="1">
        <v>2021</v>
      </c>
      <c r="D14" s="9" t="s">
        <v>126</v>
      </c>
      <c r="E14" s="25">
        <v>1</v>
      </c>
    </row>
    <row r="15" spans="1:5" x14ac:dyDescent="0.35">
      <c r="A15" s="1">
        <v>13</v>
      </c>
      <c r="B15" s="71" t="s">
        <v>6</v>
      </c>
      <c r="C15" s="1">
        <v>2018</v>
      </c>
      <c r="D15" s="9" t="s">
        <v>125</v>
      </c>
      <c r="E15" s="25">
        <v>0</v>
      </c>
    </row>
    <row r="16" spans="1:5" x14ac:dyDescent="0.35">
      <c r="A16" s="1">
        <v>14</v>
      </c>
      <c r="B16" s="71"/>
      <c r="C16" s="1">
        <v>2019</v>
      </c>
      <c r="D16" s="9" t="s">
        <v>125</v>
      </c>
      <c r="E16" s="25">
        <v>0</v>
      </c>
    </row>
    <row r="17" spans="1:5" x14ac:dyDescent="0.35">
      <c r="A17" s="1">
        <v>15</v>
      </c>
      <c r="B17" s="71"/>
      <c r="C17" s="1">
        <v>2020</v>
      </c>
      <c r="D17" s="9" t="s">
        <v>125</v>
      </c>
      <c r="E17" s="25">
        <v>0</v>
      </c>
    </row>
    <row r="18" spans="1:5" x14ac:dyDescent="0.35">
      <c r="A18" s="1">
        <v>16</v>
      </c>
      <c r="B18" s="71"/>
      <c r="C18" s="1">
        <v>2021</v>
      </c>
      <c r="D18" s="9" t="s">
        <v>125</v>
      </c>
      <c r="E18" s="25">
        <v>0</v>
      </c>
    </row>
    <row r="19" spans="1:5" x14ac:dyDescent="0.35">
      <c r="A19" s="1">
        <v>17</v>
      </c>
      <c r="B19" s="71" t="s">
        <v>7</v>
      </c>
      <c r="C19" s="1">
        <v>2018</v>
      </c>
      <c r="D19" s="9" t="s">
        <v>124</v>
      </c>
      <c r="E19" s="25">
        <v>0</v>
      </c>
    </row>
    <row r="20" spans="1:5" x14ac:dyDescent="0.35">
      <c r="A20" s="1">
        <v>18</v>
      </c>
      <c r="B20" s="71"/>
      <c r="C20" s="1">
        <v>2019</v>
      </c>
      <c r="D20" s="9" t="s">
        <v>124</v>
      </c>
      <c r="E20" s="25">
        <v>0</v>
      </c>
    </row>
    <row r="21" spans="1:5" x14ac:dyDescent="0.35">
      <c r="A21" s="1">
        <v>19</v>
      </c>
      <c r="B21" s="71"/>
      <c r="C21" s="1">
        <v>2020</v>
      </c>
      <c r="D21" s="9" t="s">
        <v>124</v>
      </c>
      <c r="E21" s="25">
        <v>0</v>
      </c>
    </row>
    <row r="22" spans="1:5" x14ac:dyDescent="0.35">
      <c r="A22" s="1">
        <v>20</v>
      </c>
      <c r="B22" s="71"/>
      <c r="C22" s="1">
        <v>2021</v>
      </c>
      <c r="D22" s="9" t="s">
        <v>124</v>
      </c>
      <c r="E22" s="25">
        <v>0</v>
      </c>
    </row>
    <row r="23" spans="1:5" x14ac:dyDescent="0.35">
      <c r="A23" s="1">
        <v>21</v>
      </c>
      <c r="B23" s="71" t="s">
        <v>8</v>
      </c>
      <c r="C23" s="1">
        <v>2018</v>
      </c>
      <c r="D23" s="9" t="s">
        <v>127</v>
      </c>
      <c r="E23" s="25">
        <v>0</v>
      </c>
    </row>
    <row r="24" spans="1:5" x14ac:dyDescent="0.35">
      <c r="A24" s="1">
        <v>22</v>
      </c>
      <c r="B24" s="71"/>
      <c r="C24" s="1">
        <v>2019</v>
      </c>
      <c r="D24" s="9" t="s">
        <v>127</v>
      </c>
      <c r="E24" s="25">
        <v>0</v>
      </c>
    </row>
    <row r="25" spans="1:5" x14ac:dyDescent="0.35">
      <c r="A25" s="1">
        <v>23</v>
      </c>
      <c r="B25" s="71"/>
      <c r="C25" s="1">
        <v>2020</v>
      </c>
      <c r="D25" s="9" t="s">
        <v>127</v>
      </c>
      <c r="E25" s="25">
        <v>0</v>
      </c>
    </row>
    <row r="26" spans="1:5" x14ac:dyDescent="0.35">
      <c r="A26" s="1">
        <v>24</v>
      </c>
      <c r="B26" s="71"/>
      <c r="C26" s="1">
        <v>2021</v>
      </c>
      <c r="D26" s="9" t="s">
        <v>128</v>
      </c>
      <c r="E26" s="25">
        <v>1</v>
      </c>
    </row>
    <row r="27" spans="1:5" x14ac:dyDescent="0.35">
      <c r="A27" s="1">
        <v>25</v>
      </c>
      <c r="B27" s="71" t="s">
        <v>9</v>
      </c>
      <c r="C27" s="1">
        <v>2018</v>
      </c>
      <c r="D27" s="9" t="s">
        <v>121</v>
      </c>
      <c r="E27" s="25">
        <v>0</v>
      </c>
    </row>
    <row r="28" spans="1:5" x14ac:dyDescent="0.35">
      <c r="A28" s="1">
        <v>26</v>
      </c>
      <c r="B28" s="71"/>
      <c r="C28" s="1">
        <v>2019</v>
      </c>
      <c r="D28" s="9" t="s">
        <v>121</v>
      </c>
      <c r="E28" s="25">
        <v>0</v>
      </c>
    </row>
    <row r="29" spans="1:5" x14ac:dyDescent="0.35">
      <c r="A29" s="1">
        <v>27</v>
      </c>
      <c r="B29" s="71"/>
      <c r="C29" s="1">
        <v>2020</v>
      </c>
      <c r="D29" s="9" t="s">
        <v>121</v>
      </c>
      <c r="E29" s="25">
        <v>0</v>
      </c>
    </row>
    <row r="30" spans="1:5" x14ac:dyDescent="0.35">
      <c r="A30" s="1">
        <v>28</v>
      </c>
      <c r="B30" s="71"/>
      <c r="C30" s="1">
        <v>2021</v>
      </c>
      <c r="D30" s="9" t="s">
        <v>121</v>
      </c>
      <c r="E30" s="25">
        <v>0</v>
      </c>
    </row>
    <row r="31" spans="1:5" x14ac:dyDescent="0.35">
      <c r="A31" s="1">
        <v>29</v>
      </c>
      <c r="B31" s="71" t="s">
        <v>10</v>
      </c>
      <c r="C31" s="1">
        <v>2018</v>
      </c>
      <c r="D31" s="9" t="s">
        <v>127</v>
      </c>
      <c r="E31" s="25">
        <v>0</v>
      </c>
    </row>
    <row r="32" spans="1:5" x14ac:dyDescent="0.35">
      <c r="A32" s="1">
        <v>30</v>
      </c>
      <c r="B32" s="71"/>
      <c r="C32" s="1">
        <v>2019</v>
      </c>
      <c r="D32" s="9" t="s">
        <v>127</v>
      </c>
      <c r="E32" s="25">
        <v>0</v>
      </c>
    </row>
    <row r="33" spans="1:5" x14ac:dyDescent="0.35">
      <c r="A33" s="1">
        <v>31</v>
      </c>
      <c r="B33" s="71"/>
      <c r="C33" s="1">
        <v>2020</v>
      </c>
      <c r="D33" s="9" t="s">
        <v>129</v>
      </c>
      <c r="E33" s="25">
        <v>0</v>
      </c>
    </row>
    <row r="34" spans="1:5" x14ac:dyDescent="0.35">
      <c r="A34" s="1">
        <v>32</v>
      </c>
      <c r="B34" s="71"/>
      <c r="C34" s="1">
        <v>2021</v>
      </c>
      <c r="D34" s="9" t="s">
        <v>127</v>
      </c>
      <c r="E34" s="25">
        <v>0</v>
      </c>
    </row>
    <row r="35" spans="1:5" x14ac:dyDescent="0.35">
      <c r="A35" s="1">
        <v>33</v>
      </c>
      <c r="B35" s="71" t="s">
        <v>11</v>
      </c>
      <c r="C35" s="1">
        <v>2018</v>
      </c>
      <c r="D35" s="9" t="s">
        <v>125</v>
      </c>
      <c r="E35" s="25">
        <v>0</v>
      </c>
    </row>
    <row r="36" spans="1:5" x14ac:dyDescent="0.35">
      <c r="A36" s="1">
        <v>34</v>
      </c>
      <c r="B36" s="71"/>
      <c r="C36" s="1">
        <v>2019</v>
      </c>
      <c r="D36" s="9" t="s">
        <v>125</v>
      </c>
      <c r="E36" s="25">
        <v>0</v>
      </c>
    </row>
    <row r="37" spans="1:5" x14ac:dyDescent="0.35">
      <c r="A37" s="1">
        <v>35</v>
      </c>
      <c r="B37" s="71"/>
      <c r="C37" s="1">
        <v>2020</v>
      </c>
      <c r="D37" s="9" t="s">
        <v>125</v>
      </c>
      <c r="E37" s="25">
        <v>0</v>
      </c>
    </row>
    <row r="38" spans="1:5" x14ac:dyDescent="0.35">
      <c r="A38" s="1">
        <v>36</v>
      </c>
      <c r="B38" s="71"/>
      <c r="C38" s="1">
        <v>2021</v>
      </c>
      <c r="D38" s="9" t="s">
        <v>125</v>
      </c>
      <c r="E38" s="25">
        <v>0</v>
      </c>
    </row>
    <row r="39" spans="1:5" x14ac:dyDescent="0.35">
      <c r="A39" s="1">
        <v>37</v>
      </c>
      <c r="B39" s="71" t="s">
        <v>12</v>
      </c>
      <c r="C39" s="1">
        <v>2018</v>
      </c>
      <c r="D39" s="9" t="s">
        <v>127</v>
      </c>
      <c r="E39" s="25">
        <v>0</v>
      </c>
    </row>
    <row r="40" spans="1:5" x14ac:dyDescent="0.35">
      <c r="A40" s="1">
        <v>38</v>
      </c>
      <c r="B40" s="71"/>
      <c r="C40" s="1">
        <v>2019</v>
      </c>
      <c r="D40" s="9" t="s">
        <v>127</v>
      </c>
      <c r="E40" s="25">
        <v>0</v>
      </c>
    </row>
    <row r="41" spans="1:5" x14ac:dyDescent="0.35">
      <c r="A41" s="1">
        <v>39</v>
      </c>
      <c r="B41" s="71"/>
      <c r="C41" s="1">
        <v>2020</v>
      </c>
      <c r="D41" s="9" t="s">
        <v>127</v>
      </c>
      <c r="E41" s="25">
        <v>0</v>
      </c>
    </row>
    <row r="42" spans="1:5" x14ac:dyDescent="0.35">
      <c r="A42" s="1">
        <v>40</v>
      </c>
      <c r="B42" s="71"/>
      <c r="C42" s="1">
        <v>2021</v>
      </c>
      <c r="D42" s="9" t="s">
        <v>127</v>
      </c>
      <c r="E42" s="25">
        <v>0</v>
      </c>
    </row>
    <row r="43" spans="1:5" x14ac:dyDescent="0.35">
      <c r="A43" s="1">
        <v>41</v>
      </c>
      <c r="B43" s="71" t="s">
        <v>13</v>
      </c>
      <c r="C43" s="1">
        <v>2018</v>
      </c>
      <c r="D43" s="9" t="s">
        <v>127</v>
      </c>
      <c r="E43" s="25">
        <v>0</v>
      </c>
    </row>
    <row r="44" spans="1:5" x14ac:dyDescent="0.35">
      <c r="A44" s="1">
        <v>42</v>
      </c>
      <c r="B44" s="71"/>
      <c r="C44" s="1">
        <v>2019</v>
      </c>
      <c r="D44" s="9" t="s">
        <v>126</v>
      </c>
      <c r="E44" s="25">
        <v>0</v>
      </c>
    </row>
    <row r="45" spans="1:5" x14ac:dyDescent="0.35">
      <c r="A45" s="1">
        <v>43</v>
      </c>
      <c r="B45" s="71"/>
      <c r="C45" s="1">
        <v>2020</v>
      </c>
      <c r="D45" s="9" t="s">
        <v>126</v>
      </c>
      <c r="E45" s="25">
        <v>0</v>
      </c>
    </row>
    <row r="46" spans="1:5" x14ac:dyDescent="0.35">
      <c r="A46" s="1">
        <v>44</v>
      </c>
      <c r="B46" s="71"/>
      <c r="C46" s="1">
        <v>2021</v>
      </c>
      <c r="D46" s="9" t="s">
        <v>128</v>
      </c>
      <c r="E46" s="25">
        <v>1</v>
      </c>
    </row>
    <row r="47" spans="1:5" x14ac:dyDescent="0.35">
      <c r="A47" s="1">
        <v>45</v>
      </c>
      <c r="B47" s="71" t="s">
        <v>14</v>
      </c>
      <c r="C47" s="1">
        <v>2018</v>
      </c>
      <c r="D47" s="9" t="s">
        <v>126</v>
      </c>
      <c r="E47" s="25">
        <v>0</v>
      </c>
    </row>
    <row r="48" spans="1:5" x14ac:dyDescent="0.35">
      <c r="A48" s="1">
        <v>46</v>
      </c>
      <c r="B48" s="71"/>
      <c r="C48" s="1">
        <v>2019</v>
      </c>
      <c r="D48" s="9" t="s">
        <v>126</v>
      </c>
      <c r="E48" s="25">
        <v>0</v>
      </c>
    </row>
    <row r="49" spans="1:5" x14ac:dyDescent="0.35">
      <c r="A49" s="1">
        <v>47</v>
      </c>
      <c r="B49" s="71"/>
      <c r="C49" s="1">
        <v>2020</v>
      </c>
      <c r="D49" s="9" t="s">
        <v>126</v>
      </c>
      <c r="E49" s="25">
        <v>0</v>
      </c>
    </row>
    <row r="50" spans="1:5" x14ac:dyDescent="0.35">
      <c r="A50" s="1">
        <v>48</v>
      </c>
      <c r="B50" s="71"/>
      <c r="C50" s="1">
        <v>2021</v>
      </c>
      <c r="D50" s="9" t="s">
        <v>125</v>
      </c>
      <c r="E50" s="25">
        <v>1</v>
      </c>
    </row>
    <row r="51" spans="1:5" x14ac:dyDescent="0.35">
      <c r="A51" s="1">
        <v>49</v>
      </c>
      <c r="B51" s="71" t="s">
        <v>15</v>
      </c>
      <c r="C51" s="1">
        <v>2018</v>
      </c>
      <c r="D51" s="9" t="s">
        <v>130</v>
      </c>
      <c r="E51" s="25">
        <v>0</v>
      </c>
    </row>
    <row r="52" spans="1:5" x14ac:dyDescent="0.35">
      <c r="A52" s="1">
        <v>50</v>
      </c>
      <c r="B52" s="71"/>
      <c r="C52" s="1">
        <v>2019</v>
      </c>
      <c r="D52" s="9" t="s">
        <v>128</v>
      </c>
      <c r="E52" s="25">
        <v>1</v>
      </c>
    </row>
    <row r="53" spans="1:5" x14ac:dyDescent="0.35">
      <c r="A53" s="1">
        <v>51</v>
      </c>
      <c r="B53" s="71"/>
      <c r="C53" s="1">
        <v>2020</v>
      </c>
      <c r="D53" s="9" t="s">
        <v>128</v>
      </c>
      <c r="E53" s="25">
        <v>0</v>
      </c>
    </row>
    <row r="54" spans="1:5" x14ac:dyDescent="0.35">
      <c r="A54" s="1">
        <v>52</v>
      </c>
      <c r="B54" s="71"/>
      <c r="C54" s="1">
        <v>2021</v>
      </c>
      <c r="D54" s="9" t="s">
        <v>128</v>
      </c>
      <c r="E54" s="25">
        <v>0</v>
      </c>
    </row>
    <row r="55" spans="1:5" x14ac:dyDescent="0.35">
      <c r="A55" s="1">
        <v>53</v>
      </c>
      <c r="B55" s="71" t="s">
        <v>16</v>
      </c>
      <c r="C55" s="1">
        <v>2018</v>
      </c>
      <c r="D55" s="9" t="s">
        <v>125</v>
      </c>
      <c r="E55" s="25">
        <v>0</v>
      </c>
    </row>
    <row r="56" spans="1:5" x14ac:dyDescent="0.35">
      <c r="A56" s="1">
        <v>54</v>
      </c>
      <c r="B56" s="71"/>
      <c r="C56" s="1">
        <v>2019</v>
      </c>
      <c r="D56" s="9" t="s">
        <v>125</v>
      </c>
      <c r="E56" s="25">
        <v>0</v>
      </c>
    </row>
    <row r="57" spans="1:5" x14ac:dyDescent="0.35">
      <c r="A57" s="1">
        <v>55</v>
      </c>
      <c r="B57" s="71"/>
      <c r="C57" s="1">
        <v>2020</v>
      </c>
      <c r="D57" s="9" t="s">
        <v>131</v>
      </c>
      <c r="E57" s="25">
        <v>1</v>
      </c>
    </row>
    <row r="58" spans="1:5" x14ac:dyDescent="0.35">
      <c r="A58" s="1">
        <v>56</v>
      </c>
      <c r="B58" s="71"/>
      <c r="C58" s="1">
        <v>2021</v>
      </c>
      <c r="D58" s="9" t="s">
        <v>131</v>
      </c>
      <c r="E58" s="25">
        <v>0</v>
      </c>
    </row>
    <row r="59" spans="1:5" x14ac:dyDescent="0.35">
      <c r="A59" s="1">
        <v>57</v>
      </c>
      <c r="B59" s="71" t="s">
        <v>17</v>
      </c>
      <c r="C59" s="1">
        <v>2018</v>
      </c>
      <c r="D59" s="9" t="s">
        <v>131</v>
      </c>
      <c r="E59" s="25">
        <v>0</v>
      </c>
    </row>
    <row r="60" spans="1:5" x14ac:dyDescent="0.35">
      <c r="A60" s="1">
        <v>58</v>
      </c>
      <c r="B60" s="71"/>
      <c r="C60" s="1">
        <v>2019</v>
      </c>
      <c r="D60" s="9" t="s">
        <v>131</v>
      </c>
      <c r="E60" s="25">
        <v>0</v>
      </c>
    </row>
    <row r="61" spans="1:5" x14ac:dyDescent="0.35">
      <c r="A61" s="1">
        <v>59</v>
      </c>
      <c r="B61" s="71"/>
      <c r="C61" s="1">
        <v>2020</v>
      </c>
      <c r="D61" s="9" t="s">
        <v>131</v>
      </c>
      <c r="E61" s="25">
        <v>0</v>
      </c>
    </row>
    <row r="62" spans="1:5" x14ac:dyDescent="0.35">
      <c r="A62" s="1">
        <v>60</v>
      </c>
      <c r="B62" s="71"/>
      <c r="C62" s="1">
        <v>2021</v>
      </c>
      <c r="D62" s="9" t="s">
        <v>131</v>
      </c>
      <c r="E62" s="25">
        <v>0</v>
      </c>
    </row>
    <row r="63" spans="1:5" x14ac:dyDescent="0.35">
      <c r="A63" s="1">
        <v>61</v>
      </c>
      <c r="B63" s="71" t="s">
        <v>18</v>
      </c>
      <c r="C63" s="1">
        <v>2018</v>
      </c>
      <c r="D63" s="9" t="s">
        <v>131</v>
      </c>
      <c r="E63" s="25">
        <v>0</v>
      </c>
    </row>
    <row r="64" spans="1:5" x14ac:dyDescent="0.35">
      <c r="A64" s="1">
        <v>62</v>
      </c>
      <c r="B64" s="71"/>
      <c r="C64" s="1">
        <v>2019</v>
      </c>
      <c r="D64" s="9" t="s">
        <v>131</v>
      </c>
      <c r="E64" s="25">
        <v>0</v>
      </c>
    </row>
    <row r="65" spans="1:5" x14ac:dyDescent="0.35">
      <c r="A65" s="1">
        <v>63</v>
      </c>
      <c r="B65" s="71"/>
      <c r="C65" s="1">
        <v>2020</v>
      </c>
      <c r="D65" s="9" t="s">
        <v>131</v>
      </c>
      <c r="E65" s="25">
        <v>0</v>
      </c>
    </row>
    <row r="66" spans="1:5" x14ac:dyDescent="0.35">
      <c r="A66" s="1">
        <v>64</v>
      </c>
      <c r="B66" s="71"/>
      <c r="C66" s="1">
        <v>2021</v>
      </c>
      <c r="D66" s="9" t="s">
        <v>131</v>
      </c>
      <c r="E66" s="25">
        <v>0</v>
      </c>
    </row>
    <row r="67" spans="1:5" x14ac:dyDescent="0.35">
      <c r="A67" s="1">
        <v>65</v>
      </c>
      <c r="B67" s="71" t="s">
        <v>19</v>
      </c>
      <c r="C67" s="1">
        <v>2018</v>
      </c>
      <c r="D67" s="9" t="s">
        <v>132</v>
      </c>
      <c r="E67" s="25">
        <v>0</v>
      </c>
    </row>
    <row r="68" spans="1:5" x14ac:dyDescent="0.35">
      <c r="A68" s="1">
        <v>66</v>
      </c>
      <c r="B68" s="71"/>
      <c r="C68" s="1">
        <v>2019</v>
      </c>
      <c r="D68" s="9" t="s">
        <v>132</v>
      </c>
      <c r="E68" s="25">
        <v>0</v>
      </c>
    </row>
    <row r="69" spans="1:5" x14ac:dyDescent="0.35">
      <c r="A69" s="1">
        <v>67</v>
      </c>
      <c r="B69" s="71"/>
      <c r="C69" s="1">
        <v>2020</v>
      </c>
      <c r="D69" s="9" t="s">
        <v>132</v>
      </c>
      <c r="E69" s="25">
        <v>0</v>
      </c>
    </row>
    <row r="70" spans="1:5" x14ac:dyDescent="0.35">
      <c r="A70" s="1">
        <v>68</v>
      </c>
      <c r="B70" s="71"/>
      <c r="C70" s="1">
        <v>2021</v>
      </c>
      <c r="D70" s="9" t="s">
        <v>132</v>
      </c>
      <c r="E70" s="25">
        <v>0</v>
      </c>
    </row>
    <row r="71" spans="1:5" x14ac:dyDescent="0.35">
      <c r="A71" s="1">
        <v>69</v>
      </c>
      <c r="B71" s="71" t="s">
        <v>20</v>
      </c>
      <c r="C71" s="1">
        <v>2018</v>
      </c>
      <c r="D71" s="9" t="s">
        <v>127</v>
      </c>
      <c r="E71" s="25">
        <v>0</v>
      </c>
    </row>
    <row r="72" spans="1:5" x14ac:dyDescent="0.35">
      <c r="A72" s="1">
        <v>70</v>
      </c>
      <c r="B72" s="71"/>
      <c r="C72" s="1">
        <v>2019</v>
      </c>
      <c r="D72" s="9" t="s">
        <v>129</v>
      </c>
      <c r="E72" s="25">
        <v>0</v>
      </c>
    </row>
    <row r="73" spans="1:5" x14ac:dyDescent="0.35">
      <c r="A73" s="1">
        <v>71</v>
      </c>
      <c r="B73" s="71"/>
      <c r="C73" s="1">
        <v>2020</v>
      </c>
      <c r="D73" s="9" t="s">
        <v>127</v>
      </c>
      <c r="E73" s="25">
        <v>0</v>
      </c>
    </row>
    <row r="74" spans="1:5" x14ac:dyDescent="0.35">
      <c r="A74" s="1">
        <v>72</v>
      </c>
      <c r="B74" s="71"/>
      <c r="C74" s="1">
        <v>2021</v>
      </c>
      <c r="D74" s="9" t="s">
        <v>133</v>
      </c>
      <c r="E74" s="25">
        <v>1</v>
      </c>
    </row>
    <row r="75" spans="1:5" x14ac:dyDescent="0.35">
      <c r="A75" s="1">
        <v>73</v>
      </c>
      <c r="B75" s="71" t="s">
        <v>21</v>
      </c>
      <c r="C75" s="1">
        <v>2018</v>
      </c>
      <c r="D75" s="9" t="s">
        <v>122</v>
      </c>
      <c r="E75" s="25">
        <v>0</v>
      </c>
    </row>
    <row r="76" spans="1:5" x14ac:dyDescent="0.35">
      <c r="A76" s="1">
        <v>74</v>
      </c>
      <c r="B76" s="71"/>
      <c r="C76" s="1">
        <v>2019</v>
      </c>
      <c r="D76" s="9" t="s">
        <v>122</v>
      </c>
      <c r="E76" s="25">
        <v>0</v>
      </c>
    </row>
    <row r="77" spans="1:5" x14ac:dyDescent="0.35">
      <c r="A77" s="1">
        <v>75</v>
      </c>
      <c r="B77" s="71"/>
      <c r="C77" s="1">
        <v>2020</v>
      </c>
      <c r="D77" s="9" t="s">
        <v>122</v>
      </c>
      <c r="E77" s="25">
        <v>0</v>
      </c>
    </row>
    <row r="78" spans="1:5" x14ac:dyDescent="0.35">
      <c r="A78" s="1">
        <v>76</v>
      </c>
      <c r="B78" s="71"/>
      <c r="C78" s="1">
        <v>2021</v>
      </c>
      <c r="D78" s="9" t="s">
        <v>122</v>
      </c>
      <c r="E78" s="25">
        <v>0</v>
      </c>
    </row>
    <row r="79" spans="1:5" x14ac:dyDescent="0.35">
      <c r="A79" s="1">
        <v>77</v>
      </c>
      <c r="B79" s="71" t="s">
        <v>22</v>
      </c>
      <c r="C79" s="1">
        <v>2018</v>
      </c>
      <c r="D79" s="9" t="s">
        <v>125</v>
      </c>
      <c r="E79" s="25">
        <v>0</v>
      </c>
    </row>
    <row r="80" spans="1:5" x14ac:dyDescent="0.35">
      <c r="A80" s="1">
        <v>78</v>
      </c>
      <c r="B80" s="71"/>
      <c r="C80" s="1">
        <v>2019</v>
      </c>
      <c r="D80" s="9" t="s">
        <v>125</v>
      </c>
      <c r="E80" s="25">
        <v>0</v>
      </c>
    </row>
    <row r="81" spans="1:5" x14ac:dyDescent="0.35">
      <c r="A81" s="1">
        <v>79</v>
      </c>
      <c r="B81" s="71"/>
      <c r="C81" s="1">
        <v>2020</v>
      </c>
      <c r="D81" s="9" t="s">
        <v>125</v>
      </c>
      <c r="E81" s="25">
        <v>0</v>
      </c>
    </row>
    <row r="82" spans="1:5" x14ac:dyDescent="0.35">
      <c r="A82" s="1">
        <v>80</v>
      </c>
      <c r="B82" s="71"/>
      <c r="C82" s="1">
        <v>2021</v>
      </c>
      <c r="D82" s="9" t="s">
        <v>125</v>
      </c>
      <c r="E82" s="25">
        <v>0</v>
      </c>
    </row>
    <row r="83" spans="1:5" x14ac:dyDescent="0.35">
      <c r="A83" s="1">
        <v>81</v>
      </c>
      <c r="B83" s="70" t="s">
        <v>78</v>
      </c>
      <c r="C83" s="25">
        <v>2018</v>
      </c>
      <c r="D83" s="9" t="s">
        <v>134</v>
      </c>
      <c r="E83" s="25">
        <v>0</v>
      </c>
    </row>
    <row r="84" spans="1:5" x14ac:dyDescent="0.35">
      <c r="A84" s="1">
        <v>82</v>
      </c>
      <c r="B84" s="70"/>
      <c r="C84" s="25">
        <v>2019</v>
      </c>
      <c r="D84" s="9" t="s">
        <v>134</v>
      </c>
      <c r="E84" s="25">
        <v>0</v>
      </c>
    </row>
    <row r="85" spans="1:5" x14ac:dyDescent="0.35">
      <c r="A85" s="1">
        <v>83</v>
      </c>
      <c r="B85" s="70"/>
      <c r="C85" s="25">
        <v>2020</v>
      </c>
      <c r="D85" s="9" t="s">
        <v>134</v>
      </c>
      <c r="E85" s="25">
        <v>0</v>
      </c>
    </row>
    <row r="86" spans="1:5" x14ac:dyDescent="0.35">
      <c r="A86" s="1">
        <v>84</v>
      </c>
      <c r="B86" s="70"/>
      <c r="C86" s="25">
        <v>2021</v>
      </c>
      <c r="D86" s="9" t="s">
        <v>134</v>
      </c>
      <c r="E86" s="25">
        <v>0</v>
      </c>
    </row>
    <row r="87" spans="1:5" x14ac:dyDescent="0.35">
      <c r="A87" s="1">
        <v>85</v>
      </c>
      <c r="B87" s="70" t="s">
        <v>79</v>
      </c>
      <c r="C87" s="25">
        <v>2018</v>
      </c>
      <c r="D87" s="9" t="s">
        <v>135</v>
      </c>
      <c r="E87" s="25">
        <v>0</v>
      </c>
    </row>
    <row r="88" spans="1:5" x14ac:dyDescent="0.35">
      <c r="A88" s="1">
        <v>86</v>
      </c>
      <c r="B88" s="70"/>
      <c r="C88" s="25">
        <v>2019</v>
      </c>
      <c r="D88" s="9" t="s">
        <v>135</v>
      </c>
      <c r="E88" s="25">
        <v>0</v>
      </c>
    </row>
    <row r="89" spans="1:5" x14ac:dyDescent="0.35">
      <c r="A89" s="1">
        <v>87</v>
      </c>
      <c r="B89" s="70"/>
      <c r="C89" s="25">
        <v>2020</v>
      </c>
      <c r="D89" s="9" t="s">
        <v>136</v>
      </c>
      <c r="E89" s="25">
        <v>1</v>
      </c>
    </row>
    <row r="90" spans="1:5" x14ac:dyDescent="0.35">
      <c r="A90" s="1">
        <v>88</v>
      </c>
      <c r="B90" s="70"/>
      <c r="C90" s="25">
        <v>2021</v>
      </c>
      <c r="D90" s="9" t="s">
        <v>136</v>
      </c>
      <c r="E90" s="25">
        <v>0</v>
      </c>
    </row>
    <row r="91" spans="1:5" x14ac:dyDescent="0.35">
      <c r="A91" s="1">
        <v>89</v>
      </c>
      <c r="B91" s="70" t="s">
        <v>80</v>
      </c>
      <c r="C91" s="25">
        <v>2018</v>
      </c>
      <c r="D91" s="9" t="s">
        <v>137</v>
      </c>
      <c r="E91" s="25">
        <v>0</v>
      </c>
    </row>
    <row r="92" spans="1:5" x14ac:dyDescent="0.35">
      <c r="A92" s="1">
        <v>90</v>
      </c>
      <c r="B92" s="70"/>
      <c r="C92" s="25">
        <v>2019</v>
      </c>
      <c r="D92" s="9" t="s">
        <v>137</v>
      </c>
      <c r="E92" s="25">
        <v>0</v>
      </c>
    </row>
    <row r="93" spans="1:5" x14ac:dyDescent="0.35">
      <c r="A93" s="1">
        <v>91</v>
      </c>
      <c r="B93" s="70"/>
      <c r="C93" s="25">
        <v>2020</v>
      </c>
      <c r="D93" s="9" t="s">
        <v>137</v>
      </c>
      <c r="E93" s="25">
        <v>0</v>
      </c>
    </row>
    <row r="94" spans="1:5" x14ac:dyDescent="0.35">
      <c r="A94" s="1">
        <v>92</v>
      </c>
      <c r="B94" s="70"/>
      <c r="C94" s="25">
        <v>2021</v>
      </c>
      <c r="D94" s="9" t="s">
        <v>137</v>
      </c>
      <c r="E94" s="25">
        <v>0</v>
      </c>
    </row>
    <row r="95" spans="1:5" x14ac:dyDescent="0.35">
      <c r="A95" s="1">
        <v>93</v>
      </c>
      <c r="B95" s="70" t="s">
        <v>81</v>
      </c>
      <c r="C95" s="25">
        <v>2018</v>
      </c>
      <c r="D95" s="9" t="s">
        <v>134</v>
      </c>
      <c r="E95" s="25">
        <v>0</v>
      </c>
    </row>
    <row r="96" spans="1:5" x14ac:dyDescent="0.35">
      <c r="A96" s="1">
        <v>94</v>
      </c>
      <c r="B96" s="70"/>
      <c r="C96" s="25">
        <v>2019</v>
      </c>
      <c r="D96" s="9" t="s">
        <v>134</v>
      </c>
      <c r="E96" s="25">
        <v>0</v>
      </c>
    </row>
    <row r="97" spans="1:5" x14ac:dyDescent="0.35">
      <c r="A97" s="1">
        <v>95</v>
      </c>
      <c r="B97" s="70"/>
      <c r="C97" s="25">
        <v>2020</v>
      </c>
      <c r="D97" s="9" t="s">
        <v>134</v>
      </c>
      <c r="E97" s="25">
        <v>0</v>
      </c>
    </row>
    <row r="98" spans="1:5" x14ac:dyDescent="0.35">
      <c r="A98" s="1">
        <v>96</v>
      </c>
      <c r="B98" s="70"/>
      <c r="C98" s="25">
        <v>2021</v>
      </c>
      <c r="D98" s="9" t="s">
        <v>134</v>
      </c>
      <c r="E98" s="25">
        <v>0</v>
      </c>
    </row>
    <row r="99" spans="1:5" x14ac:dyDescent="0.35">
      <c r="A99" s="1">
        <v>97</v>
      </c>
      <c r="B99" s="70" t="s">
        <v>82</v>
      </c>
      <c r="C99" s="25">
        <v>2018</v>
      </c>
      <c r="D99" s="9" t="s">
        <v>138</v>
      </c>
      <c r="E99" s="25">
        <v>0</v>
      </c>
    </row>
    <row r="100" spans="1:5" x14ac:dyDescent="0.35">
      <c r="A100" s="1">
        <v>98</v>
      </c>
      <c r="B100" s="70"/>
      <c r="C100" s="25">
        <v>2019</v>
      </c>
      <c r="D100" s="9" t="s">
        <v>139</v>
      </c>
      <c r="E100" s="25">
        <v>1</v>
      </c>
    </row>
    <row r="101" spans="1:5" x14ac:dyDescent="0.35">
      <c r="A101" s="1">
        <v>99</v>
      </c>
      <c r="B101" s="70"/>
      <c r="C101" s="25">
        <v>2020</v>
      </c>
      <c r="D101" s="9" t="s">
        <v>139</v>
      </c>
      <c r="E101" s="25">
        <v>0</v>
      </c>
    </row>
    <row r="102" spans="1:5" x14ac:dyDescent="0.35">
      <c r="A102" s="1">
        <v>100</v>
      </c>
      <c r="B102" s="70"/>
      <c r="C102" s="25">
        <v>2021</v>
      </c>
      <c r="D102" s="9" t="s">
        <v>134</v>
      </c>
      <c r="E102" s="25">
        <v>1</v>
      </c>
    </row>
    <row r="103" spans="1:5" x14ac:dyDescent="0.35">
      <c r="A103" s="1">
        <v>101</v>
      </c>
      <c r="B103" s="70" t="s">
        <v>83</v>
      </c>
      <c r="C103" s="25">
        <v>2018</v>
      </c>
      <c r="D103" s="9" t="s">
        <v>134</v>
      </c>
      <c r="E103" s="25">
        <v>0</v>
      </c>
    </row>
    <row r="104" spans="1:5" x14ac:dyDescent="0.35">
      <c r="A104" s="1">
        <v>102</v>
      </c>
      <c r="B104" s="70"/>
      <c r="C104" s="25">
        <v>2019</v>
      </c>
      <c r="D104" s="9" t="s">
        <v>134</v>
      </c>
      <c r="E104" s="25">
        <v>0</v>
      </c>
    </row>
    <row r="105" spans="1:5" x14ac:dyDescent="0.35">
      <c r="A105" s="1">
        <v>103</v>
      </c>
      <c r="B105" s="70"/>
      <c r="C105" s="25">
        <v>2020</v>
      </c>
      <c r="D105" s="9" t="s">
        <v>134</v>
      </c>
      <c r="E105" s="25">
        <v>0</v>
      </c>
    </row>
    <row r="106" spans="1:5" x14ac:dyDescent="0.35">
      <c r="A106" s="1">
        <v>104</v>
      </c>
      <c r="B106" s="70"/>
      <c r="C106" s="25">
        <v>2021</v>
      </c>
      <c r="D106" s="9" t="s">
        <v>134</v>
      </c>
      <c r="E106" s="25">
        <v>0</v>
      </c>
    </row>
    <row r="107" spans="1:5" x14ac:dyDescent="0.35">
      <c r="A107" s="1">
        <v>105</v>
      </c>
      <c r="B107" s="70" t="s">
        <v>84</v>
      </c>
      <c r="C107" s="25">
        <v>2018</v>
      </c>
      <c r="D107" s="9" t="s">
        <v>140</v>
      </c>
      <c r="E107" s="25">
        <v>0</v>
      </c>
    </row>
    <row r="108" spans="1:5" x14ac:dyDescent="0.35">
      <c r="A108" s="1">
        <v>106</v>
      </c>
      <c r="B108" s="70"/>
      <c r="C108" s="25">
        <v>2019</v>
      </c>
      <c r="D108" s="9" t="s">
        <v>140</v>
      </c>
      <c r="E108" s="25">
        <v>0</v>
      </c>
    </row>
    <row r="109" spans="1:5" x14ac:dyDescent="0.35">
      <c r="A109" s="1">
        <v>107</v>
      </c>
      <c r="B109" s="70"/>
      <c r="C109" s="25">
        <v>2020</v>
      </c>
      <c r="D109" s="9" t="s">
        <v>135</v>
      </c>
      <c r="E109" s="25">
        <v>1</v>
      </c>
    </row>
    <row r="110" spans="1:5" x14ac:dyDescent="0.35">
      <c r="A110" s="1">
        <v>108</v>
      </c>
      <c r="B110" s="70"/>
      <c r="C110" s="25">
        <v>2021</v>
      </c>
      <c r="D110" s="9" t="s">
        <v>135</v>
      </c>
      <c r="E110" s="25">
        <v>0</v>
      </c>
    </row>
    <row r="111" spans="1:5" x14ac:dyDescent="0.35">
      <c r="A111" s="1">
        <v>109</v>
      </c>
      <c r="B111" s="70" t="s">
        <v>85</v>
      </c>
      <c r="C111" s="25">
        <v>2018</v>
      </c>
      <c r="D111" s="9" t="s">
        <v>134</v>
      </c>
      <c r="E111" s="25">
        <v>0</v>
      </c>
    </row>
    <row r="112" spans="1:5" x14ac:dyDescent="0.35">
      <c r="A112" s="1">
        <v>110</v>
      </c>
      <c r="B112" s="70"/>
      <c r="C112" s="25">
        <v>2019</v>
      </c>
      <c r="D112" s="9" t="s">
        <v>134</v>
      </c>
      <c r="E112" s="25">
        <v>0</v>
      </c>
    </row>
    <row r="113" spans="1:5" x14ac:dyDescent="0.35">
      <c r="A113" s="1">
        <v>111</v>
      </c>
      <c r="B113" s="70"/>
      <c r="C113" s="25">
        <v>2020</v>
      </c>
      <c r="D113" s="9" t="s">
        <v>134</v>
      </c>
      <c r="E113" s="25">
        <v>0</v>
      </c>
    </row>
    <row r="114" spans="1:5" x14ac:dyDescent="0.35">
      <c r="A114" s="1">
        <v>112</v>
      </c>
      <c r="B114" s="70"/>
      <c r="C114" s="25">
        <v>2021</v>
      </c>
      <c r="D114" s="9" t="s">
        <v>141</v>
      </c>
      <c r="E114" s="25">
        <v>1</v>
      </c>
    </row>
    <row r="115" spans="1:5" x14ac:dyDescent="0.35">
      <c r="A115" s="1">
        <v>113</v>
      </c>
      <c r="B115" s="70" t="s">
        <v>86</v>
      </c>
      <c r="C115" s="25">
        <v>2018</v>
      </c>
      <c r="D115" s="9" t="s">
        <v>142</v>
      </c>
      <c r="E115" s="25">
        <v>0</v>
      </c>
    </row>
    <row r="116" spans="1:5" x14ac:dyDescent="0.35">
      <c r="A116" s="1">
        <v>114</v>
      </c>
      <c r="B116" s="70"/>
      <c r="C116" s="25">
        <v>2019</v>
      </c>
      <c r="D116" s="9" t="s">
        <v>141</v>
      </c>
      <c r="E116" s="25">
        <v>1</v>
      </c>
    </row>
    <row r="117" spans="1:5" x14ac:dyDescent="0.35">
      <c r="A117" s="1">
        <v>115</v>
      </c>
      <c r="B117" s="70"/>
      <c r="C117" s="25">
        <v>2020</v>
      </c>
      <c r="D117" s="9" t="s">
        <v>141</v>
      </c>
      <c r="E117" s="25">
        <v>0</v>
      </c>
    </row>
    <row r="118" spans="1:5" x14ac:dyDescent="0.35">
      <c r="A118" s="1">
        <v>116</v>
      </c>
      <c r="B118" s="70"/>
      <c r="C118" s="25">
        <v>2021</v>
      </c>
      <c r="D118" s="9" t="s">
        <v>141</v>
      </c>
      <c r="E118" s="25">
        <v>0</v>
      </c>
    </row>
    <row r="119" spans="1:5" x14ac:dyDescent="0.35">
      <c r="A119" s="1">
        <v>117</v>
      </c>
      <c r="B119" s="70" t="s">
        <v>87</v>
      </c>
      <c r="C119" s="25">
        <v>2018</v>
      </c>
      <c r="D119" s="9" t="s">
        <v>134</v>
      </c>
      <c r="E119" s="25">
        <v>0</v>
      </c>
    </row>
    <row r="120" spans="1:5" x14ac:dyDescent="0.35">
      <c r="A120" s="1">
        <v>118</v>
      </c>
      <c r="B120" s="70"/>
      <c r="C120" s="25">
        <v>2019</v>
      </c>
      <c r="D120" s="9" t="s">
        <v>134</v>
      </c>
      <c r="E120" s="25">
        <v>0</v>
      </c>
    </row>
    <row r="121" spans="1:5" x14ac:dyDescent="0.35">
      <c r="A121" s="1">
        <v>119</v>
      </c>
      <c r="B121" s="70"/>
      <c r="C121" s="25">
        <v>2020</v>
      </c>
      <c r="D121" s="9" t="s">
        <v>134</v>
      </c>
      <c r="E121" s="25">
        <v>0</v>
      </c>
    </row>
    <row r="122" spans="1:5" x14ac:dyDescent="0.35">
      <c r="A122" s="1">
        <v>120</v>
      </c>
      <c r="B122" s="70"/>
      <c r="C122" s="25">
        <v>2021</v>
      </c>
      <c r="D122" s="9" t="s">
        <v>134</v>
      </c>
      <c r="E122" s="25">
        <v>0</v>
      </c>
    </row>
    <row r="123" spans="1:5" x14ac:dyDescent="0.35">
      <c r="A123" s="1">
        <v>121</v>
      </c>
      <c r="B123" s="70" t="s">
        <v>88</v>
      </c>
      <c r="C123" s="25">
        <v>2018</v>
      </c>
      <c r="D123" s="9" t="s">
        <v>143</v>
      </c>
      <c r="E123" s="25">
        <v>0</v>
      </c>
    </row>
    <row r="124" spans="1:5" x14ac:dyDescent="0.35">
      <c r="A124" s="1">
        <v>122</v>
      </c>
      <c r="B124" s="70"/>
      <c r="C124" s="25">
        <v>2019</v>
      </c>
      <c r="D124" s="9" t="s">
        <v>143</v>
      </c>
      <c r="E124" s="25">
        <v>0</v>
      </c>
    </row>
    <row r="125" spans="1:5" x14ac:dyDescent="0.35">
      <c r="A125" s="1">
        <v>123</v>
      </c>
      <c r="B125" s="70"/>
      <c r="C125" s="25">
        <v>2020</v>
      </c>
      <c r="D125" s="9" t="s">
        <v>143</v>
      </c>
      <c r="E125" s="25">
        <v>0</v>
      </c>
    </row>
    <row r="126" spans="1:5" x14ac:dyDescent="0.35">
      <c r="A126" s="1">
        <v>124</v>
      </c>
      <c r="B126" s="70"/>
      <c r="C126" s="25">
        <v>2021</v>
      </c>
      <c r="D126" s="9" t="s">
        <v>143</v>
      </c>
      <c r="E126" s="25">
        <v>0</v>
      </c>
    </row>
    <row r="127" spans="1:5" x14ac:dyDescent="0.35">
      <c r="A127" s="1">
        <v>125</v>
      </c>
      <c r="B127" s="70" t="s">
        <v>89</v>
      </c>
      <c r="C127" s="25">
        <v>2018</v>
      </c>
      <c r="D127" s="9" t="s">
        <v>139</v>
      </c>
      <c r="E127" s="25">
        <v>0</v>
      </c>
    </row>
    <row r="128" spans="1:5" x14ac:dyDescent="0.35">
      <c r="A128" s="1">
        <v>126</v>
      </c>
      <c r="B128" s="70"/>
      <c r="C128" s="25">
        <v>2019</v>
      </c>
      <c r="D128" s="9" t="s">
        <v>139</v>
      </c>
      <c r="E128" s="25">
        <v>0</v>
      </c>
    </row>
    <row r="129" spans="1:5" x14ac:dyDescent="0.35">
      <c r="A129" s="1">
        <v>127</v>
      </c>
      <c r="B129" s="70"/>
      <c r="C129" s="25">
        <v>2020</v>
      </c>
      <c r="D129" s="9" t="s">
        <v>139</v>
      </c>
      <c r="E129" s="25">
        <v>0</v>
      </c>
    </row>
    <row r="130" spans="1:5" x14ac:dyDescent="0.35">
      <c r="A130" s="1">
        <v>128</v>
      </c>
      <c r="B130" s="70"/>
      <c r="C130" s="25">
        <v>2021</v>
      </c>
      <c r="D130" s="9" t="s">
        <v>139</v>
      </c>
      <c r="E130" s="25">
        <v>0</v>
      </c>
    </row>
    <row r="131" spans="1:5" x14ac:dyDescent="0.35">
      <c r="A131" s="1">
        <v>129</v>
      </c>
      <c r="B131" s="70" t="s">
        <v>90</v>
      </c>
      <c r="C131" s="25">
        <v>2018</v>
      </c>
      <c r="D131" s="9" t="s">
        <v>134</v>
      </c>
      <c r="E131" s="25">
        <v>0</v>
      </c>
    </row>
    <row r="132" spans="1:5" x14ac:dyDescent="0.35">
      <c r="A132" s="1">
        <v>130</v>
      </c>
      <c r="B132" s="70"/>
      <c r="C132" s="25">
        <v>2019</v>
      </c>
      <c r="D132" s="9" t="s">
        <v>136</v>
      </c>
      <c r="E132" s="25">
        <v>1</v>
      </c>
    </row>
    <row r="133" spans="1:5" x14ac:dyDescent="0.35">
      <c r="A133" s="1">
        <v>131</v>
      </c>
      <c r="B133" s="70"/>
      <c r="C133" s="25">
        <v>2020</v>
      </c>
      <c r="D133" s="9" t="s">
        <v>136</v>
      </c>
      <c r="E133" s="25">
        <v>0</v>
      </c>
    </row>
    <row r="134" spans="1:5" x14ac:dyDescent="0.35">
      <c r="A134" s="1">
        <v>132</v>
      </c>
      <c r="B134" s="70"/>
      <c r="C134" s="25">
        <v>2021</v>
      </c>
      <c r="D134" s="9" t="s">
        <v>136</v>
      </c>
      <c r="E134" s="25">
        <v>0</v>
      </c>
    </row>
    <row r="135" spans="1:5" x14ac:dyDescent="0.35">
      <c r="A135" s="1">
        <v>133</v>
      </c>
      <c r="B135" s="70" t="s">
        <v>91</v>
      </c>
      <c r="C135" s="25">
        <v>2018</v>
      </c>
      <c r="D135" s="9" t="s">
        <v>134</v>
      </c>
      <c r="E135" s="25">
        <v>0</v>
      </c>
    </row>
    <row r="136" spans="1:5" x14ac:dyDescent="0.35">
      <c r="A136" s="1">
        <v>134</v>
      </c>
      <c r="B136" s="70"/>
      <c r="C136" s="25">
        <v>2019</v>
      </c>
      <c r="D136" s="9" t="s">
        <v>134</v>
      </c>
      <c r="E136" s="25">
        <v>0</v>
      </c>
    </row>
    <row r="137" spans="1:5" x14ac:dyDescent="0.35">
      <c r="A137" s="1">
        <v>135</v>
      </c>
      <c r="B137" s="70"/>
      <c r="C137" s="25">
        <v>2020</v>
      </c>
      <c r="D137" s="9" t="s">
        <v>134</v>
      </c>
      <c r="E137" s="25">
        <v>0</v>
      </c>
    </row>
    <row r="138" spans="1:5" x14ac:dyDescent="0.35">
      <c r="A138" s="1">
        <v>136</v>
      </c>
      <c r="B138" s="70"/>
      <c r="C138" s="25">
        <v>2021</v>
      </c>
      <c r="D138" s="9" t="s">
        <v>134</v>
      </c>
      <c r="E138" s="25">
        <v>0</v>
      </c>
    </row>
    <row r="139" spans="1:5" x14ac:dyDescent="0.35">
      <c r="A139" s="1">
        <v>137</v>
      </c>
      <c r="B139" s="70" t="s">
        <v>92</v>
      </c>
      <c r="C139" s="25">
        <v>2018</v>
      </c>
      <c r="D139" s="9" t="s">
        <v>141</v>
      </c>
      <c r="E139" s="25">
        <v>0</v>
      </c>
    </row>
    <row r="140" spans="1:5" x14ac:dyDescent="0.35">
      <c r="A140" s="1">
        <v>138</v>
      </c>
      <c r="B140" s="70"/>
      <c r="C140" s="25">
        <v>2019</v>
      </c>
      <c r="D140" s="9" t="s">
        <v>141</v>
      </c>
      <c r="E140" s="25">
        <v>0</v>
      </c>
    </row>
    <row r="141" spans="1:5" x14ac:dyDescent="0.35">
      <c r="A141" s="1">
        <v>139</v>
      </c>
      <c r="B141" s="70"/>
      <c r="C141" s="25">
        <v>2020</v>
      </c>
      <c r="D141" s="9" t="s">
        <v>141</v>
      </c>
      <c r="E141" s="25">
        <v>0</v>
      </c>
    </row>
    <row r="142" spans="1:5" x14ac:dyDescent="0.35">
      <c r="A142" s="1">
        <v>140</v>
      </c>
      <c r="B142" s="70"/>
      <c r="C142" s="25">
        <v>2021</v>
      </c>
      <c r="D142" s="9" t="s">
        <v>141</v>
      </c>
      <c r="E142" s="25">
        <v>0</v>
      </c>
    </row>
  </sheetData>
  <mergeCells count="35">
    <mergeCell ref="B23:B26"/>
    <mergeCell ref="B3:B6"/>
    <mergeCell ref="B7:B10"/>
    <mergeCell ref="B11:B14"/>
    <mergeCell ref="B15:B18"/>
    <mergeCell ref="B19:B22"/>
    <mergeCell ref="B71:B74"/>
    <mergeCell ref="B27:B30"/>
    <mergeCell ref="B31:B34"/>
    <mergeCell ref="B35:B38"/>
    <mergeCell ref="B39:B42"/>
    <mergeCell ref="B43:B46"/>
    <mergeCell ref="B47:B50"/>
    <mergeCell ref="B51:B54"/>
    <mergeCell ref="B55:B58"/>
    <mergeCell ref="B59:B62"/>
    <mergeCell ref="B63:B66"/>
    <mergeCell ref="B67:B70"/>
    <mergeCell ref="B119:B122"/>
    <mergeCell ref="B75:B78"/>
    <mergeCell ref="B79:B82"/>
    <mergeCell ref="B83:B86"/>
    <mergeCell ref="B87:B90"/>
    <mergeCell ref="B91:B94"/>
    <mergeCell ref="B95:B98"/>
    <mergeCell ref="B99:B102"/>
    <mergeCell ref="B103:B106"/>
    <mergeCell ref="B107:B110"/>
    <mergeCell ref="B111:B114"/>
    <mergeCell ref="B115:B118"/>
    <mergeCell ref="B123:B126"/>
    <mergeCell ref="B127:B130"/>
    <mergeCell ref="B131:B134"/>
    <mergeCell ref="B135:B138"/>
    <mergeCell ref="B139:B14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33807-625B-4D65-81CD-2B82077CFF8F}">
  <dimension ref="A1:E142"/>
  <sheetViews>
    <sheetView workbookViewId="0">
      <selection sqref="A1:C142"/>
    </sheetView>
  </sheetViews>
  <sheetFormatPr defaultRowHeight="14.5" x14ac:dyDescent="0.35"/>
  <cols>
    <col min="4" max="4" width="15.90625" bestFit="1" customWidth="1"/>
    <col min="5" max="5" width="14.90625" bestFit="1" customWidth="1"/>
  </cols>
  <sheetData>
    <row r="1" spans="1:5" x14ac:dyDescent="0.35">
      <c r="A1" s="1" t="s">
        <v>0</v>
      </c>
      <c r="B1" s="1" t="s">
        <v>114</v>
      </c>
      <c r="C1" s="1" t="s">
        <v>2</v>
      </c>
      <c r="D1" s="1" t="s">
        <v>70</v>
      </c>
      <c r="E1" s="1" t="s">
        <v>71</v>
      </c>
    </row>
    <row r="2" spans="1:5" x14ac:dyDescent="0.35">
      <c r="A2" s="1"/>
      <c r="B2" s="1"/>
      <c r="C2" s="1"/>
      <c r="D2" s="1" t="s">
        <v>74</v>
      </c>
      <c r="E2" s="1" t="s">
        <v>75</v>
      </c>
    </row>
    <row r="3" spans="1:5" x14ac:dyDescent="0.35">
      <c r="A3" s="1">
        <v>1</v>
      </c>
      <c r="B3" s="70" t="s">
        <v>117</v>
      </c>
      <c r="C3" s="1">
        <v>2018</v>
      </c>
      <c r="D3" s="1">
        <v>1</v>
      </c>
      <c r="E3" s="1">
        <v>1</v>
      </c>
    </row>
    <row r="4" spans="1:5" x14ac:dyDescent="0.35">
      <c r="A4" s="1">
        <v>2</v>
      </c>
      <c r="B4" s="70"/>
      <c r="C4" s="1">
        <v>2019</v>
      </c>
      <c r="D4" s="1">
        <v>1</v>
      </c>
      <c r="E4" s="1">
        <v>0</v>
      </c>
    </row>
    <row r="5" spans="1:5" x14ac:dyDescent="0.35">
      <c r="A5" s="1">
        <v>3</v>
      </c>
      <c r="B5" s="70"/>
      <c r="C5" s="1">
        <v>2020</v>
      </c>
      <c r="D5" s="1">
        <v>1</v>
      </c>
      <c r="E5" s="1">
        <v>0</v>
      </c>
    </row>
    <row r="6" spans="1:5" x14ac:dyDescent="0.35">
      <c r="A6" s="1">
        <v>4</v>
      </c>
      <c r="B6" s="70"/>
      <c r="C6" s="1">
        <v>2021</v>
      </c>
      <c r="D6" s="1">
        <v>0</v>
      </c>
      <c r="E6" s="1">
        <v>0</v>
      </c>
    </row>
    <row r="7" spans="1:5" x14ac:dyDescent="0.35">
      <c r="A7" s="1">
        <v>5</v>
      </c>
      <c r="B7" s="71" t="s">
        <v>4</v>
      </c>
      <c r="C7" s="1">
        <v>2018</v>
      </c>
      <c r="D7" s="1">
        <v>1</v>
      </c>
      <c r="E7" s="1">
        <v>0</v>
      </c>
    </row>
    <row r="8" spans="1:5" x14ac:dyDescent="0.35">
      <c r="A8" s="1">
        <v>6</v>
      </c>
      <c r="B8" s="71"/>
      <c r="C8" s="1">
        <v>2019</v>
      </c>
      <c r="D8" s="1">
        <v>0</v>
      </c>
      <c r="E8" s="1">
        <v>0</v>
      </c>
    </row>
    <row r="9" spans="1:5" x14ac:dyDescent="0.35">
      <c r="A9" s="1">
        <v>7</v>
      </c>
      <c r="B9" s="71"/>
      <c r="C9" s="1">
        <v>2020</v>
      </c>
      <c r="D9" s="1">
        <v>1</v>
      </c>
      <c r="E9" s="1">
        <v>1</v>
      </c>
    </row>
    <row r="10" spans="1:5" x14ac:dyDescent="0.35">
      <c r="A10" s="1">
        <v>8</v>
      </c>
      <c r="B10" s="71"/>
      <c r="C10" s="1">
        <v>2021</v>
      </c>
      <c r="D10" s="1">
        <v>1</v>
      </c>
      <c r="E10" s="1">
        <v>0</v>
      </c>
    </row>
    <row r="11" spans="1:5" x14ac:dyDescent="0.35">
      <c r="A11" s="1">
        <v>9</v>
      </c>
      <c r="B11" s="71" t="s">
        <v>5</v>
      </c>
      <c r="C11" s="1">
        <v>2018</v>
      </c>
      <c r="D11" s="1">
        <v>1</v>
      </c>
      <c r="E11" s="1">
        <v>1</v>
      </c>
    </row>
    <row r="12" spans="1:5" x14ac:dyDescent="0.35">
      <c r="A12" s="1">
        <v>10</v>
      </c>
      <c r="B12" s="71"/>
      <c r="C12" s="1">
        <v>2019</v>
      </c>
      <c r="D12" s="1">
        <v>1</v>
      </c>
      <c r="E12" s="1">
        <v>0</v>
      </c>
    </row>
    <row r="13" spans="1:5" x14ac:dyDescent="0.35">
      <c r="A13" s="1">
        <v>11</v>
      </c>
      <c r="B13" s="71"/>
      <c r="C13" s="1">
        <v>2020</v>
      </c>
      <c r="D13" s="1">
        <v>1</v>
      </c>
      <c r="E13" s="1">
        <v>0</v>
      </c>
    </row>
    <row r="14" spans="1:5" x14ac:dyDescent="0.35">
      <c r="A14" s="1">
        <v>12</v>
      </c>
      <c r="B14" s="71"/>
      <c r="C14" s="1">
        <v>2021</v>
      </c>
      <c r="D14" s="1">
        <v>1</v>
      </c>
      <c r="E14" s="1">
        <v>0</v>
      </c>
    </row>
    <row r="15" spans="1:5" x14ac:dyDescent="0.35">
      <c r="A15" s="1">
        <v>13</v>
      </c>
      <c r="B15" s="71" t="s">
        <v>6</v>
      </c>
      <c r="C15" s="1">
        <v>2018</v>
      </c>
      <c r="D15" s="1">
        <v>1</v>
      </c>
      <c r="E15" s="1">
        <v>0</v>
      </c>
    </row>
    <row r="16" spans="1:5" x14ac:dyDescent="0.35">
      <c r="A16" s="1">
        <v>14</v>
      </c>
      <c r="B16" s="71"/>
      <c r="C16" s="1">
        <v>2019</v>
      </c>
      <c r="D16" s="1">
        <v>1</v>
      </c>
      <c r="E16" s="1">
        <v>1</v>
      </c>
    </row>
    <row r="17" spans="1:5" x14ac:dyDescent="0.35">
      <c r="A17" s="1">
        <v>15</v>
      </c>
      <c r="B17" s="71"/>
      <c r="C17" s="1">
        <v>2020</v>
      </c>
      <c r="D17" s="1">
        <v>0</v>
      </c>
      <c r="E17" s="1">
        <v>1</v>
      </c>
    </row>
    <row r="18" spans="1:5" x14ac:dyDescent="0.35">
      <c r="A18" s="1">
        <v>16</v>
      </c>
      <c r="B18" s="71"/>
      <c r="C18" s="1">
        <v>2021</v>
      </c>
      <c r="D18" s="1">
        <v>1</v>
      </c>
      <c r="E18" s="1">
        <v>0</v>
      </c>
    </row>
    <row r="19" spans="1:5" x14ac:dyDescent="0.35">
      <c r="A19" s="1">
        <v>17</v>
      </c>
      <c r="B19" s="71" t="s">
        <v>7</v>
      </c>
      <c r="C19" s="1">
        <v>2018</v>
      </c>
      <c r="D19" s="1">
        <v>1</v>
      </c>
      <c r="E19" s="1">
        <v>1</v>
      </c>
    </row>
    <row r="20" spans="1:5" x14ac:dyDescent="0.35">
      <c r="A20" s="1">
        <v>18</v>
      </c>
      <c r="B20" s="71"/>
      <c r="C20" s="1">
        <v>2019</v>
      </c>
      <c r="D20" s="1">
        <v>1</v>
      </c>
      <c r="E20" s="1">
        <v>1</v>
      </c>
    </row>
    <row r="21" spans="1:5" x14ac:dyDescent="0.35">
      <c r="A21" s="1">
        <v>19</v>
      </c>
      <c r="B21" s="71"/>
      <c r="C21" s="1">
        <v>2020</v>
      </c>
      <c r="D21" s="1">
        <v>1</v>
      </c>
      <c r="E21" s="1">
        <v>1</v>
      </c>
    </row>
    <row r="22" spans="1:5" x14ac:dyDescent="0.35">
      <c r="A22" s="1">
        <v>20</v>
      </c>
      <c r="B22" s="71"/>
      <c r="C22" s="1">
        <v>2021</v>
      </c>
      <c r="D22" s="1">
        <v>1</v>
      </c>
      <c r="E22" s="1">
        <v>1</v>
      </c>
    </row>
    <row r="23" spans="1:5" x14ac:dyDescent="0.35">
      <c r="A23" s="1">
        <v>21</v>
      </c>
      <c r="B23" s="71" t="s">
        <v>8</v>
      </c>
      <c r="C23" s="1">
        <v>2018</v>
      </c>
      <c r="D23" s="1">
        <v>1</v>
      </c>
      <c r="E23" s="1">
        <v>1</v>
      </c>
    </row>
    <row r="24" spans="1:5" x14ac:dyDescent="0.35">
      <c r="A24" s="1">
        <v>22</v>
      </c>
      <c r="B24" s="71"/>
      <c r="C24" s="1">
        <v>2019</v>
      </c>
      <c r="D24" s="1">
        <v>1</v>
      </c>
      <c r="E24" s="1">
        <v>1</v>
      </c>
    </row>
    <row r="25" spans="1:5" x14ac:dyDescent="0.35">
      <c r="A25" s="1">
        <v>23</v>
      </c>
      <c r="B25" s="71"/>
      <c r="C25" s="1">
        <v>2020</v>
      </c>
      <c r="D25" s="1">
        <v>0</v>
      </c>
      <c r="E25" s="1">
        <v>0</v>
      </c>
    </row>
    <row r="26" spans="1:5" x14ac:dyDescent="0.35">
      <c r="A26" s="1">
        <v>24</v>
      </c>
      <c r="B26" s="71"/>
      <c r="C26" s="1">
        <v>2021</v>
      </c>
      <c r="D26" s="1">
        <v>0</v>
      </c>
      <c r="E26" s="1">
        <v>0</v>
      </c>
    </row>
    <row r="27" spans="1:5" x14ac:dyDescent="0.35">
      <c r="A27" s="1">
        <v>25</v>
      </c>
      <c r="B27" s="71" t="s">
        <v>9</v>
      </c>
      <c r="C27" s="1">
        <v>2018</v>
      </c>
      <c r="D27" s="1">
        <v>0</v>
      </c>
      <c r="E27" s="1">
        <v>1</v>
      </c>
    </row>
    <row r="28" spans="1:5" x14ac:dyDescent="0.35">
      <c r="A28" s="1">
        <v>26</v>
      </c>
      <c r="B28" s="71"/>
      <c r="C28" s="1">
        <v>2019</v>
      </c>
      <c r="D28" s="1">
        <v>1</v>
      </c>
      <c r="E28" s="1">
        <v>1</v>
      </c>
    </row>
    <row r="29" spans="1:5" x14ac:dyDescent="0.35">
      <c r="A29" s="1">
        <v>27</v>
      </c>
      <c r="B29" s="71"/>
      <c r="C29" s="1">
        <v>2020</v>
      </c>
      <c r="D29" s="1">
        <v>0</v>
      </c>
      <c r="E29" s="1">
        <v>1</v>
      </c>
    </row>
    <row r="30" spans="1:5" x14ac:dyDescent="0.35">
      <c r="A30" s="1">
        <v>28</v>
      </c>
      <c r="B30" s="71"/>
      <c r="C30" s="1">
        <v>2021</v>
      </c>
      <c r="D30" s="1">
        <v>0</v>
      </c>
      <c r="E30" s="1">
        <v>1</v>
      </c>
    </row>
    <row r="31" spans="1:5" x14ac:dyDescent="0.35">
      <c r="A31" s="1">
        <v>29</v>
      </c>
      <c r="B31" s="71" t="s">
        <v>10</v>
      </c>
      <c r="C31" s="1">
        <v>2018</v>
      </c>
      <c r="D31" s="1">
        <v>1</v>
      </c>
      <c r="E31" s="1">
        <v>1</v>
      </c>
    </row>
    <row r="32" spans="1:5" x14ac:dyDescent="0.35">
      <c r="A32" s="1">
        <v>30</v>
      </c>
      <c r="B32" s="71"/>
      <c r="C32" s="1">
        <v>2019</v>
      </c>
      <c r="D32" s="1">
        <v>1</v>
      </c>
      <c r="E32" s="1">
        <v>1</v>
      </c>
    </row>
    <row r="33" spans="1:5" x14ac:dyDescent="0.35">
      <c r="A33" s="1">
        <v>31</v>
      </c>
      <c r="B33" s="71"/>
      <c r="C33" s="1">
        <v>2020</v>
      </c>
      <c r="D33" s="1">
        <v>1</v>
      </c>
      <c r="E33" s="1">
        <v>1</v>
      </c>
    </row>
    <row r="34" spans="1:5" x14ac:dyDescent="0.35">
      <c r="A34" s="1">
        <v>32</v>
      </c>
      <c r="B34" s="71"/>
      <c r="C34" s="1">
        <v>2021</v>
      </c>
      <c r="D34" s="1">
        <v>1</v>
      </c>
      <c r="E34" s="1">
        <v>1</v>
      </c>
    </row>
    <row r="35" spans="1:5" x14ac:dyDescent="0.35">
      <c r="A35" s="1">
        <v>33</v>
      </c>
      <c r="B35" s="71" t="s">
        <v>11</v>
      </c>
      <c r="C35" s="1">
        <v>2018</v>
      </c>
      <c r="D35" s="1">
        <v>1</v>
      </c>
      <c r="E35" s="1">
        <v>1</v>
      </c>
    </row>
    <row r="36" spans="1:5" x14ac:dyDescent="0.35">
      <c r="A36" s="1">
        <v>34</v>
      </c>
      <c r="B36" s="71"/>
      <c r="C36" s="1">
        <v>2019</v>
      </c>
      <c r="D36" s="1">
        <v>1</v>
      </c>
      <c r="E36" s="1">
        <v>1</v>
      </c>
    </row>
    <row r="37" spans="1:5" x14ac:dyDescent="0.35">
      <c r="A37" s="1">
        <v>35</v>
      </c>
      <c r="B37" s="71"/>
      <c r="C37" s="1">
        <v>2020</v>
      </c>
      <c r="D37" s="1">
        <v>1</v>
      </c>
      <c r="E37" s="1">
        <v>1</v>
      </c>
    </row>
    <row r="38" spans="1:5" x14ac:dyDescent="0.35">
      <c r="A38" s="1">
        <v>36</v>
      </c>
      <c r="B38" s="71"/>
      <c r="C38" s="1">
        <v>2021</v>
      </c>
      <c r="D38" s="1">
        <v>1</v>
      </c>
      <c r="E38" s="1">
        <v>1</v>
      </c>
    </row>
    <row r="39" spans="1:5" x14ac:dyDescent="0.35">
      <c r="A39" s="1">
        <v>37</v>
      </c>
      <c r="B39" s="71" t="s">
        <v>12</v>
      </c>
      <c r="C39" s="1">
        <v>2018</v>
      </c>
      <c r="D39" s="1">
        <v>1</v>
      </c>
      <c r="E39" s="1">
        <v>0</v>
      </c>
    </row>
    <row r="40" spans="1:5" x14ac:dyDescent="0.35">
      <c r="A40" s="1">
        <v>38</v>
      </c>
      <c r="B40" s="71"/>
      <c r="C40" s="1">
        <v>2019</v>
      </c>
      <c r="D40" s="1">
        <v>1</v>
      </c>
      <c r="E40" s="1">
        <v>1</v>
      </c>
    </row>
    <row r="41" spans="1:5" x14ac:dyDescent="0.35">
      <c r="A41" s="1">
        <v>39</v>
      </c>
      <c r="B41" s="71"/>
      <c r="C41" s="1">
        <v>2020</v>
      </c>
      <c r="D41" s="1">
        <v>0</v>
      </c>
      <c r="E41" s="1">
        <v>1</v>
      </c>
    </row>
    <row r="42" spans="1:5" x14ac:dyDescent="0.35">
      <c r="A42" s="1">
        <v>40</v>
      </c>
      <c r="B42" s="71"/>
      <c r="C42" s="1">
        <v>2021</v>
      </c>
      <c r="D42" s="1">
        <v>1</v>
      </c>
      <c r="E42" s="1">
        <v>0</v>
      </c>
    </row>
    <row r="43" spans="1:5" x14ac:dyDescent="0.35">
      <c r="A43" s="1">
        <v>41</v>
      </c>
      <c r="B43" s="71" t="s">
        <v>13</v>
      </c>
      <c r="C43" s="1">
        <v>2018</v>
      </c>
      <c r="D43" s="1">
        <v>1</v>
      </c>
      <c r="E43" s="1">
        <v>1</v>
      </c>
    </row>
    <row r="44" spans="1:5" x14ac:dyDescent="0.35">
      <c r="A44" s="1">
        <v>42</v>
      </c>
      <c r="B44" s="71"/>
      <c r="C44" s="1">
        <v>2019</v>
      </c>
      <c r="D44" s="1">
        <v>0</v>
      </c>
      <c r="E44" s="1">
        <v>1</v>
      </c>
    </row>
    <row r="45" spans="1:5" x14ac:dyDescent="0.35">
      <c r="A45" s="1">
        <v>43</v>
      </c>
      <c r="B45" s="71"/>
      <c r="C45" s="1">
        <v>2020</v>
      </c>
      <c r="D45" s="1">
        <v>1</v>
      </c>
      <c r="E45" s="1">
        <v>1</v>
      </c>
    </row>
    <row r="46" spans="1:5" x14ac:dyDescent="0.35">
      <c r="A46" s="1">
        <v>44</v>
      </c>
      <c r="B46" s="71"/>
      <c r="C46" s="1">
        <v>2021</v>
      </c>
      <c r="D46" s="1">
        <v>0</v>
      </c>
      <c r="E46" s="1">
        <v>1</v>
      </c>
    </row>
    <row r="47" spans="1:5" x14ac:dyDescent="0.35">
      <c r="A47" s="1">
        <v>45</v>
      </c>
      <c r="B47" s="71" t="s">
        <v>14</v>
      </c>
      <c r="C47" s="1">
        <v>2018</v>
      </c>
      <c r="D47" s="1">
        <v>1</v>
      </c>
      <c r="E47" s="1">
        <v>1</v>
      </c>
    </row>
    <row r="48" spans="1:5" x14ac:dyDescent="0.35">
      <c r="A48" s="1">
        <v>46</v>
      </c>
      <c r="B48" s="71"/>
      <c r="C48" s="1">
        <v>2019</v>
      </c>
      <c r="D48" s="1">
        <v>1</v>
      </c>
      <c r="E48" s="1">
        <v>0</v>
      </c>
    </row>
    <row r="49" spans="1:5" x14ac:dyDescent="0.35">
      <c r="A49" s="1">
        <v>47</v>
      </c>
      <c r="B49" s="71"/>
      <c r="C49" s="1">
        <v>2020</v>
      </c>
      <c r="D49" s="1">
        <v>0</v>
      </c>
      <c r="E49" s="1">
        <v>0</v>
      </c>
    </row>
    <row r="50" spans="1:5" x14ac:dyDescent="0.35">
      <c r="A50" s="1">
        <v>48</v>
      </c>
      <c r="B50" s="71"/>
      <c r="C50" s="1">
        <v>2021</v>
      </c>
      <c r="D50" s="1">
        <v>0</v>
      </c>
      <c r="E50" s="1">
        <v>0</v>
      </c>
    </row>
    <row r="51" spans="1:5" x14ac:dyDescent="0.35">
      <c r="A51" s="1">
        <v>49</v>
      </c>
      <c r="B51" s="71" t="s">
        <v>15</v>
      </c>
      <c r="C51" s="1">
        <v>2018</v>
      </c>
      <c r="D51" s="1">
        <v>0</v>
      </c>
      <c r="E51" s="1">
        <v>0</v>
      </c>
    </row>
    <row r="52" spans="1:5" x14ac:dyDescent="0.35">
      <c r="A52" s="1">
        <v>50</v>
      </c>
      <c r="B52" s="71"/>
      <c r="C52" s="1">
        <v>2019</v>
      </c>
      <c r="D52" s="1">
        <v>0</v>
      </c>
      <c r="E52" s="1">
        <v>0</v>
      </c>
    </row>
    <row r="53" spans="1:5" x14ac:dyDescent="0.35">
      <c r="A53" s="1">
        <v>51</v>
      </c>
      <c r="B53" s="71"/>
      <c r="C53" s="1">
        <v>2020</v>
      </c>
      <c r="D53" s="1">
        <v>0</v>
      </c>
      <c r="E53" s="1">
        <v>0</v>
      </c>
    </row>
    <row r="54" spans="1:5" x14ac:dyDescent="0.35">
      <c r="A54" s="1">
        <v>52</v>
      </c>
      <c r="B54" s="71"/>
      <c r="C54" s="1">
        <v>2021</v>
      </c>
      <c r="D54" s="1">
        <v>1</v>
      </c>
      <c r="E54" s="1">
        <v>1</v>
      </c>
    </row>
    <row r="55" spans="1:5" x14ac:dyDescent="0.35">
      <c r="A55" s="1">
        <v>53</v>
      </c>
      <c r="B55" s="71" t="s">
        <v>16</v>
      </c>
      <c r="C55" s="1">
        <v>2018</v>
      </c>
      <c r="D55" s="1">
        <v>1</v>
      </c>
      <c r="E55" s="1">
        <v>0</v>
      </c>
    </row>
    <row r="56" spans="1:5" x14ac:dyDescent="0.35">
      <c r="A56" s="1">
        <v>54</v>
      </c>
      <c r="B56" s="71"/>
      <c r="C56" s="1">
        <v>2019</v>
      </c>
      <c r="D56" s="1">
        <v>1</v>
      </c>
      <c r="E56" s="1">
        <v>1</v>
      </c>
    </row>
    <row r="57" spans="1:5" x14ac:dyDescent="0.35">
      <c r="A57" s="1">
        <v>55</v>
      </c>
      <c r="B57" s="71"/>
      <c r="C57" s="1">
        <v>2020</v>
      </c>
      <c r="D57" s="1">
        <v>1</v>
      </c>
      <c r="E57" s="1">
        <v>1</v>
      </c>
    </row>
    <row r="58" spans="1:5" x14ac:dyDescent="0.35">
      <c r="A58" s="1">
        <v>56</v>
      </c>
      <c r="B58" s="71"/>
      <c r="C58" s="1">
        <v>2021</v>
      </c>
      <c r="D58" s="1">
        <v>1</v>
      </c>
      <c r="E58" s="1">
        <v>1</v>
      </c>
    </row>
    <row r="59" spans="1:5" x14ac:dyDescent="0.35">
      <c r="A59" s="1">
        <v>57</v>
      </c>
      <c r="B59" s="71" t="s">
        <v>17</v>
      </c>
      <c r="C59" s="1">
        <v>2018</v>
      </c>
      <c r="D59" s="1">
        <v>1</v>
      </c>
      <c r="E59" s="1">
        <v>0</v>
      </c>
    </row>
    <row r="60" spans="1:5" x14ac:dyDescent="0.35">
      <c r="A60" s="1">
        <v>58</v>
      </c>
      <c r="B60" s="71"/>
      <c r="C60" s="1">
        <v>2019</v>
      </c>
      <c r="D60" s="1">
        <v>1</v>
      </c>
      <c r="E60" s="1">
        <v>0</v>
      </c>
    </row>
    <row r="61" spans="1:5" x14ac:dyDescent="0.35">
      <c r="A61" s="1">
        <v>59</v>
      </c>
      <c r="B61" s="71"/>
      <c r="C61" s="1">
        <v>2020</v>
      </c>
      <c r="D61" s="1">
        <v>1</v>
      </c>
      <c r="E61" s="1">
        <v>1</v>
      </c>
    </row>
    <row r="62" spans="1:5" x14ac:dyDescent="0.35">
      <c r="A62" s="1">
        <v>60</v>
      </c>
      <c r="B62" s="71"/>
      <c r="C62" s="1">
        <v>2021</v>
      </c>
      <c r="D62" s="1">
        <v>1</v>
      </c>
      <c r="E62" s="1">
        <v>1</v>
      </c>
    </row>
    <row r="63" spans="1:5" x14ac:dyDescent="0.35">
      <c r="A63" s="1">
        <v>61</v>
      </c>
      <c r="B63" s="71" t="s">
        <v>18</v>
      </c>
      <c r="C63" s="1">
        <v>2018</v>
      </c>
      <c r="D63" s="1">
        <v>1</v>
      </c>
      <c r="E63" s="1">
        <v>1</v>
      </c>
    </row>
    <row r="64" spans="1:5" x14ac:dyDescent="0.35">
      <c r="A64" s="1">
        <v>62</v>
      </c>
      <c r="B64" s="71"/>
      <c r="C64" s="1">
        <v>2019</v>
      </c>
      <c r="D64" s="1">
        <v>0</v>
      </c>
      <c r="E64" s="1">
        <v>0</v>
      </c>
    </row>
    <row r="65" spans="1:5" x14ac:dyDescent="0.35">
      <c r="A65" s="1">
        <v>63</v>
      </c>
      <c r="B65" s="71"/>
      <c r="C65" s="1">
        <v>2020</v>
      </c>
      <c r="D65" s="1">
        <v>1</v>
      </c>
      <c r="E65" s="1">
        <v>1</v>
      </c>
    </row>
    <row r="66" spans="1:5" x14ac:dyDescent="0.35">
      <c r="A66" s="1">
        <v>64</v>
      </c>
      <c r="B66" s="71"/>
      <c r="C66" s="1">
        <v>2021</v>
      </c>
      <c r="D66" s="1">
        <v>0</v>
      </c>
      <c r="E66" s="1">
        <v>1</v>
      </c>
    </row>
    <row r="67" spans="1:5" x14ac:dyDescent="0.35">
      <c r="A67" s="1">
        <v>65</v>
      </c>
      <c r="B67" s="71" t="s">
        <v>19</v>
      </c>
      <c r="C67" s="1">
        <v>2018</v>
      </c>
      <c r="D67" s="1">
        <v>0</v>
      </c>
      <c r="E67" s="1">
        <v>1</v>
      </c>
    </row>
    <row r="68" spans="1:5" x14ac:dyDescent="0.35">
      <c r="A68" s="1">
        <v>66</v>
      </c>
      <c r="B68" s="71"/>
      <c r="C68" s="1">
        <v>2019</v>
      </c>
      <c r="D68" s="1">
        <v>0</v>
      </c>
      <c r="E68" s="1">
        <v>1</v>
      </c>
    </row>
    <row r="69" spans="1:5" x14ac:dyDescent="0.35">
      <c r="A69" s="1">
        <v>67</v>
      </c>
      <c r="B69" s="71"/>
      <c r="C69" s="1">
        <v>2020</v>
      </c>
      <c r="D69" s="1">
        <v>0</v>
      </c>
      <c r="E69" s="1">
        <v>0</v>
      </c>
    </row>
    <row r="70" spans="1:5" x14ac:dyDescent="0.35">
      <c r="A70" s="1">
        <v>68</v>
      </c>
      <c r="B70" s="71"/>
      <c r="C70" s="1">
        <v>2021</v>
      </c>
      <c r="D70" s="1">
        <v>1</v>
      </c>
      <c r="E70" s="1">
        <v>0</v>
      </c>
    </row>
    <row r="71" spans="1:5" x14ac:dyDescent="0.35">
      <c r="A71" s="1">
        <v>69</v>
      </c>
      <c r="B71" s="71" t="s">
        <v>20</v>
      </c>
      <c r="C71" s="1">
        <v>2018</v>
      </c>
      <c r="D71" s="1">
        <v>1</v>
      </c>
      <c r="E71" s="1">
        <v>1</v>
      </c>
    </row>
    <row r="72" spans="1:5" x14ac:dyDescent="0.35">
      <c r="A72" s="1">
        <v>70</v>
      </c>
      <c r="B72" s="71"/>
      <c r="C72" s="1">
        <v>2019</v>
      </c>
      <c r="D72" s="1">
        <v>0</v>
      </c>
      <c r="E72" s="1">
        <v>1</v>
      </c>
    </row>
    <row r="73" spans="1:5" x14ac:dyDescent="0.35">
      <c r="A73" s="1">
        <v>71</v>
      </c>
      <c r="B73" s="71"/>
      <c r="C73" s="1">
        <v>2020</v>
      </c>
      <c r="D73" s="1">
        <v>1</v>
      </c>
      <c r="E73" s="1">
        <v>0</v>
      </c>
    </row>
    <row r="74" spans="1:5" x14ac:dyDescent="0.35">
      <c r="A74" s="1">
        <v>72</v>
      </c>
      <c r="B74" s="71"/>
      <c r="C74" s="1">
        <v>2021</v>
      </c>
      <c r="D74" s="1">
        <v>1</v>
      </c>
      <c r="E74" s="1">
        <v>1</v>
      </c>
    </row>
    <row r="75" spans="1:5" x14ac:dyDescent="0.35">
      <c r="A75" s="1">
        <v>73</v>
      </c>
      <c r="B75" s="71" t="s">
        <v>21</v>
      </c>
      <c r="C75" s="1">
        <v>2018</v>
      </c>
      <c r="D75" s="1">
        <v>0</v>
      </c>
      <c r="E75" s="1">
        <v>1</v>
      </c>
    </row>
    <row r="76" spans="1:5" x14ac:dyDescent="0.35">
      <c r="A76" s="1">
        <v>74</v>
      </c>
      <c r="B76" s="71"/>
      <c r="C76" s="1">
        <v>2019</v>
      </c>
      <c r="D76" s="1">
        <v>0</v>
      </c>
      <c r="E76" s="1">
        <v>1</v>
      </c>
    </row>
    <row r="77" spans="1:5" x14ac:dyDescent="0.35">
      <c r="A77" s="1">
        <v>75</v>
      </c>
      <c r="B77" s="71"/>
      <c r="C77" s="1">
        <v>2020</v>
      </c>
      <c r="D77" s="1">
        <v>1</v>
      </c>
      <c r="E77" s="1">
        <v>1</v>
      </c>
    </row>
    <row r="78" spans="1:5" x14ac:dyDescent="0.35">
      <c r="A78" s="1">
        <v>76</v>
      </c>
      <c r="B78" s="71"/>
      <c r="C78" s="1">
        <v>2021</v>
      </c>
      <c r="D78" s="1">
        <v>1</v>
      </c>
      <c r="E78" s="1">
        <v>1</v>
      </c>
    </row>
    <row r="79" spans="1:5" x14ac:dyDescent="0.35">
      <c r="A79" s="1">
        <v>77</v>
      </c>
      <c r="B79" s="71" t="s">
        <v>22</v>
      </c>
      <c r="C79" s="1">
        <v>2018</v>
      </c>
      <c r="D79" s="1">
        <v>0</v>
      </c>
      <c r="E79" s="1">
        <v>1</v>
      </c>
    </row>
    <row r="80" spans="1:5" x14ac:dyDescent="0.35">
      <c r="A80" s="1">
        <v>78</v>
      </c>
      <c r="B80" s="71"/>
      <c r="C80" s="1">
        <v>2019</v>
      </c>
      <c r="D80" s="1">
        <v>1</v>
      </c>
      <c r="E80" s="1">
        <v>1</v>
      </c>
    </row>
    <row r="81" spans="1:5" x14ac:dyDescent="0.35">
      <c r="A81" s="1">
        <v>79</v>
      </c>
      <c r="B81" s="71"/>
      <c r="C81" s="1">
        <v>2020</v>
      </c>
      <c r="D81" s="1">
        <v>1</v>
      </c>
      <c r="E81" s="1">
        <v>1</v>
      </c>
    </row>
    <row r="82" spans="1:5" x14ac:dyDescent="0.35">
      <c r="A82" s="1">
        <v>80</v>
      </c>
      <c r="B82" s="71"/>
      <c r="C82" s="1">
        <v>2021</v>
      </c>
      <c r="D82" s="1">
        <v>1</v>
      </c>
      <c r="E82" s="1">
        <v>1</v>
      </c>
    </row>
    <row r="83" spans="1:5" x14ac:dyDescent="0.35">
      <c r="A83" s="1">
        <v>81</v>
      </c>
      <c r="B83" s="70" t="s">
        <v>78</v>
      </c>
      <c r="C83" s="25">
        <v>2018</v>
      </c>
      <c r="D83" s="25">
        <v>0</v>
      </c>
      <c r="E83" s="25">
        <v>0</v>
      </c>
    </row>
    <row r="84" spans="1:5" x14ac:dyDescent="0.35">
      <c r="A84" s="1">
        <v>82</v>
      </c>
      <c r="B84" s="70"/>
      <c r="C84" s="25">
        <v>2019</v>
      </c>
      <c r="D84" s="25">
        <v>0</v>
      </c>
      <c r="E84" s="25">
        <v>0</v>
      </c>
    </row>
    <row r="85" spans="1:5" x14ac:dyDescent="0.35">
      <c r="A85" s="1">
        <v>83</v>
      </c>
      <c r="B85" s="70"/>
      <c r="C85" s="25">
        <v>2020</v>
      </c>
      <c r="D85" s="25">
        <v>0</v>
      </c>
      <c r="E85" s="25">
        <v>0</v>
      </c>
    </row>
    <row r="86" spans="1:5" x14ac:dyDescent="0.35">
      <c r="A86" s="1">
        <v>84</v>
      </c>
      <c r="B86" s="70"/>
      <c r="C86" s="25">
        <v>2021</v>
      </c>
      <c r="D86" s="25">
        <v>0</v>
      </c>
      <c r="E86" s="25">
        <v>0</v>
      </c>
    </row>
    <row r="87" spans="1:5" x14ac:dyDescent="0.35">
      <c r="A87" s="1">
        <v>85</v>
      </c>
      <c r="B87" s="70" t="s">
        <v>79</v>
      </c>
      <c r="C87" s="25">
        <v>2018</v>
      </c>
      <c r="D87" s="25">
        <v>1</v>
      </c>
      <c r="E87" s="25">
        <v>0</v>
      </c>
    </row>
    <row r="88" spans="1:5" x14ac:dyDescent="0.35">
      <c r="A88" s="1">
        <v>86</v>
      </c>
      <c r="B88" s="70"/>
      <c r="C88" s="25">
        <v>2019</v>
      </c>
      <c r="D88" s="25">
        <v>1</v>
      </c>
      <c r="E88" s="25">
        <v>0</v>
      </c>
    </row>
    <row r="89" spans="1:5" x14ac:dyDescent="0.35">
      <c r="A89" s="1">
        <v>87</v>
      </c>
      <c r="B89" s="70"/>
      <c r="C89" s="25">
        <v>2020</v>
      </c>
      <c r="D89" s="25">
        <v>1</v>
      </c>
      <c r="E89" s="25">
        <v>0</v>
      </c>
    </row>
    <row r="90" spans="1:5" x14ac:dyDescent="0.35">
      <c r="A90" s="1">
        <v>88</v>
      </c>
      <c r="B90" s="70"/>
      <c r="C90" s="25">
        <v>2021</v>
      </c>
      <c r="D90" s="25">
        <v>1</v>
      </c>
      <c r="E90" s="25">
        <v>0</v>
      </c>
    </row>
    <row r="91" spans="1:5" x14ac:dyDescent="0.35">
      <c r="A91" s="1">
        <v>89</v>
      </c>
      <c r="B91" s="70" t="s">
        <v>80</v>
      </c>
      <c r="C91" s="25">
        <v>2018</v>
      </c>
      <c r="D91" s="25">
        <v>0</v>
      </c>
      <c r="E91" s="25">
        <v>0</v>
      </c>
    </row>
    <row r="92" spans="1:5" x14ac:dyDescent="0.35">
      <c r="A92" s="1">
        <v>90</v>
      </c>
      <c r="B92" s="70"/>
      <c r="C92" s="25">
        <v>2019</v>
      </c>
      <c r="D92" s="25">
        <v>0</v>
      </c>
      <c r="E92" s="25">
        <v>0</v>
      </c>
    </row>
    <row r="93" spans="1:5" x14ac:dyDescent="0.35">
      <c r="A93" s="1">
        <v>91</v>
      </c>
      <c r="B93" s="70"/>
      <c r="C93" s="25">
        <v>2020</v>
      </c>
      <c r="D93" s="25">
        <v>0</v>
      </c>
      <c r="E93" s="25">
        <v>0</v>
      </c>
    </row>
    <row r="94" spans="1:5" x14ac:dyDescent="0.35">
      <c r="A94" s="1">
        <v>92</v>
      </c>
      <c r="B94" s="70"/>
      <c r="C94" s="25">
        <v>2021</v>
      </c>
      <c r="D94" s="25">
        <v>0</v>
      </c>
      <c r="E94" s="25">
        <v>0</v>
      </c>
    </row>
    <row r="95" spans="1:5" x14ac:dyDescent="0.35">
      <c r="A95" s="1">
        <v>93</v>
      </c>
      <c r="B95" s="70" t="s">
        <v>81</v>
      </c>
      <c r="C95" s="25">
        <v>2018</v>
      </c>
      <c r="D95" s="25">
        <v>1</v>
      </c>
      <c r="E95" s="25">
        <v>0</v>
      </c>
    </row>
    <row r="96" spans="1:5" x14ac:dyDescent="0.35">
      <c r="A96" s="1">
        <v>94</v>
      </c>
      <c r="B96" s="70"/>
      <c r="C96" s="25">
        <v>2019</v>
      </c>
      <c r="D96" s="25">
        <v>1</v>
      </c>
      <c r="E96" s="25">
        <v>0</v>
      </c>
    </row>
    <row r="97" spans="1:5" x14ac:dyDescent="0.35">
      <c r="A97" s="1">
        <v>95</v>
      </c>
      <c r="B97" s="70"/>
      <c r="C97" s="25">
        <v>2020</v>
      </c>
      <c r="D97" s="25">
        <v>0</v>
      </c>
      <c r="E97" s="25">
        <v>0</v>
      </c>
    </row>
    <row r="98" spans="1:5" x14ac:dyDescent="0.35">
      <c r="A98" s="1">
        <v>96</v>
      </c>
      <c r="B98" s="70"/>
      <c r="C98" s="25">
        <v>2021</v>
      </c>
      <c r="D98" s="25">
        <v>1</v>
      </c>
      <c r="E98" s="25">
        <v>0</v>
      </c>
    </row>
    <row r="99" spans="1:5" x14ac:dyDescent="0.35">
      <c r="A99" s="1">
        <v>97</v>
      </c>
      <c r="B99" s="70" t="s">
        <v>82</v>
      </c>
      <c r="C99" s="25">
        <v>2018</v>
      </c>
      <c r="D99" s="25">
        <v>1</v>
      </c>
      <c r="E99" s="25">
        <v>0</v>
      </c>
    </row>
    <row r="100" spans="1:5" x14ac:dyDescent="0.35">
      <c r="A100" s="1">
        <v>98</v>
      </c>
      <c r="B100" s="70"/>
      <c r="C100" s="25">
        <v>2019</v>
      </c>
      <c r="D100" s="25">
        <v>1</v>
      </c>
      <c r="E100" s="25">
        <v>0</v>
      </c>
    </row>
    <row r="101" spans="1:5" x14ac:dyDescent="0.35">
      <c r="A101" s="1">
        <v>99</v>
      </c>
      <c r="B101" s="70"/>
      <c r="C101" s="25">
        <v>2020</v>
      </c>
      <c r="D101" s="25">
        <v>1</v>
      </c>
      <c r="E101" s="25">
        <v>0</v>
      </c>
    </row>
    <row r="102" spans="1:5" x14ac:dyDescent="0.35">
      <c r="A102" s="1">
        <v>100</v>
      </c>
      <c r="B102" s="70"/>
      <c r="C102" s="25">
        <v>2021</v>
      </c>
      <c r="D102" s="25">
        <v>1</v>
      </c>
      <c r="E102" s="25">
        <v>0</v>
      </c>
    </row>
    <row r="103" spans="1:5" x14ac:dyDescent="0.35">
      <c r="A103" s="1">
        <v>101</v>
      </c>
      <c r="B103" s="70" t="s">
        <v>83</v>
      </c>
      <c r="C103" s="25">
        <v>2018</v>
      </c>
      <c r="D103" s="25">
        <v>0</v>
      </c>
      <c r="E103" s="25">
        <v>0</v>
      </c>
    </row>
    <row r="104" spans="1:5" x14ac:dyDescent="0.35">
      <c r="A104" s="1">
        <v>102</v>
      </c>
      <c r="B104" s="70"/>
      <c r="C104" s="25">
        <v>2019</v>
      </c>
      <c r="D104" s="25">
        <v>1</v>
      </c>
      <c r="E104" s="25">
        <v>0</v>
      </c>
    </row>
    <row r="105" spans="1:5" x14ac:dyDescent="0.35">
      <c r="A105" s="1">
        <v>103</v>
      </c>
      <c r="B105" s="70"/>
      <c r="C105" s="25">
        <v>2020</v>
      </c>
      <c r="D105" s="25">
        <v>1</v>
      </c>
      <c r="E105" s="25">
        <v>0</v>
      </c>
    </row>
    <row r="106" spans="1:5" x14ac:dyDescent="0.35">
      <c r="A106" s="1">
        <v>104</v>
      </c>
      <c r="B106" s="70"/>
      <c r="C106" s="25">
        <v>2021</v>
      </c>
      <c r="D106" s="25">
        <v>1</v>
      </c>
      <c r="E106" s="25">
        <v>0</v>
      </c>
    </row>
    <row r="107" spans="1:5" x14ac:dyDescent="0.35">
      <c r="A107" s="1">
        <v>105</v>
      </c>
      <c r="B107" s="70" t="s">
        <v>84</v>
      </c>
      <c r="C107" s="25">
        <v>2018</v>
      </c>
      <c r="D107" s="25">
        <v>1</v>
      </c>
      <c r="E107" s="25">
        <v>0</v>
      </c>
    </row>
    <row r="108" spans="1:5" x14ac:dyDescent="0.35">
      <c r="A108" s="1">
        <v>106</v>
      </c>
      <c r="B108" s="70"/>
      <c r="C108" s="25">
        <v>2019</v>
      </c>
      <c r="D108" s="25">
        <v>1</v>
      </c>
      <c r="E108" s="25">
        <v>0</v>
      </c>
    </row>
    <row r="109" spans="1:5" x14ac:dyDescent="0.35">
      <c r="A109" s="1">
        <v>107</v>
      </c>
      <c r="B109" s="70"/>
      <c r="C109" s="25">
        <v>2020</v>
      </c>
      <c r="D109" s="25">
        <v>1</v>
      </c>
      <c r="E109" s="25">
        <v>0</v>
      </c>
    </row>
    <row r="110" spans="1:5" x14ac:dyDescent="0.35">
      <c r="A110" s="1">
        <v>108</v>
      </c>
      <c r="B110" s="70"/>
      <c r="C110" s="25">
        <v>2021</v>
      </c>
      <c r="D110" s="25">
        <v>1</v>
      </c>
      <c r="E110" s="25">
        <v>0</v>
      </c>
    </row>
    <row r="111" spans="1:5" x14ac:dyDescent="0.35">
      <c r="A111" s="1">
        <v>109</v>
      </c>
      <c r="B111" s="70" t="s">
        <v>85</v>
      </c>
      <c r="C111" s="25">
        <v>2018</v>
      </c>
      <c r="D111" s="25">
        <v>1</v>
      </c>
      <c r="E111" s="25">
        <v>0</v>
      </c>
    </row>
    <row r="112" spans="1:5" x14ac:dyDescent="0.35">
      <c r="A112" s="1">
        <v>110</v>
      </c>
      <c r="B112" s="70"/>
      <c r="C112" s="25">
        <v>2019</v>
      </c>
      <c r="D112" s="25">
        <v>1</v>
      </c>
      <c r="E112" s="25">
        <v>0</v>
      </c>
    </row>
    <row r="113" spans="1:5" x14ac:dyDescent="0.35">
      <c r="A113" s="1">
        <v>111</v>
      </c>
      <c r="B113" s="70"/>
      <c r="C113" s="25">
        <v>2020</v>
      </c>
      <c r="D113" s="25">
        <v>1</v>
      </c>
      <c r="E113" s="25">
        <v>0</v>
      </c>
    </row>
    <row r="114" spans="1:5" x14ac:dyDescent="0.35">
      <c r="A114" s="1">
        <v>112</v>
      </c>
      <c r="B114" s="70"/>
      <c r="C114" s="25">
        <v>2021</v>
      </c>
      <c r="D114" s="25">
        <v>1</v>
      </c>
      <c r="E114" s="25">
        <v>0</v>
      </c>
    </row>
    <row r="115" spans="1:5" x14ac:dyDescent="0.35">
      <c r="A115" s="1">
        <v>113</v>
      </c>
      <c r="B115" s="70" t="s">
        <v>86</v>
      </c>
      <c r="C115" s="25">
        <v>2018</v>
      </c>
      <c r="D115" s="25">
        <v>0</v>
      </c>
      <c r="E115" s="25">
        <v>0</v>
      </c>
    </row>
    <row r="116" spans="1:5" x14ac:dyDescent="0.35">
      <c r="A116" s="1">
        <v>114</v>
      </c>
      <c r="B116" s="70"/>
      <c r="C116" s="25">
        <v>2019</v>
      </c>
      <c r="D116" s="25">
        <v>0</v>
      </c>
      <c r="E116" s="25">
        <v>0</v>
      </c>
    </row>
    <row r="117" spans="1:5" x14ac:dyDescent="0.35">
      <c r="A117" s="1">
        <v>115</v>
      </c>
      <c r="B117" s="70"/>
      <c r="C117" s="25">
        <v>2020</v>
      </c>
      <c r="D117" s="25">
        <v>0</v>
      </c>
      <c r="E117" s="25">
        <v>0</v>
      </c>
    </row>
    <row r="118" spans="1:5" x14ac:dyDescent="0.35">
      <c r="A118" s="1">
        <v>116</v>
      </c>
      <c r="B118" s="70"/>
      <c r="C118" s="25">
        <v>2021</v>
      </c>
      <c r="D118" s="25">
        <v>1</v>
      </c>
      <c r="E118" s="25">
        <v>0</v>
      </c>
    </row>
    <row r="119" spans="1:5" x14ac:dyDescent="0.35">
      <c r="A119" s="1">
        <v>117</v>
      </c>
      <c r="B119" s="70" t="s">
        <v>87</v>
      </c>
      <c r="C119" s="25">
        <v>2018</v>
      </c>
      <c r="D119" s="25">
        <v>1</v>
      </c>
      <c r="E119" s="25">
        <v>0</v>
      </c>
    </row>
    <row r="120" spans="1:5" x14ac:dyDescent="0.35">
      <c r="A120" s="1">
        <v>118</v>
      </c>
      <c r="B120" s="70"/>
      <c r="C120" s="25">
        <v>2019</v>
      </c>
      <c r="D120" s="25">
        <v>1</v>
      </c>
      <c r="E120" s="25">
        <v>0</v>
      </c>
    </row>
    <row r="121" spans="1:5" x14ac:dyDescent="0.35">
      <c r="A121" s="1">
        <v>119</v>
      </c>
      <c r="B121" s="70"/>
      <c r="C121" s="25">
        <v>2020</v>
      </c>
      <c r="D121" s="25">
        <v>1</v>
      </c>
      <c r="E121" s="25">
        <v>0</v>
      </c>
    </row>
    <row r="122" spans="1:5" x14ac:dyDescent="0.35">
      <c r="A122" s="1">
        <v>120</v>
      </c>
      <c r="B122" s="70"/>
      <c r="C122" s="25">
        <v>2021</v>
      </c>
      <c r="D122" s="25">
        <v>1</v>
      </c>
      <c r="E122" s="25">
        <v>0</v>
      </c>
    </row>
    <row r="123" spans="1:5" x14ac:dyDescent="0.35">
      <c r="A123" s="1">
        <v>121</v>
      </c>
      <c r="B123" s="70" t="s">
        <v>88</v>
      </c>
      <c r="C123" s="25">
        <v>2018</v>
      </c>
      <c r="D123" s="25">
        <v>1</v>
      </c>
      <c r="E123" s="25">
        <v>0</v>
      </c>
    </row>
    <row r="124" spans="1:5" x14ac:dyDescent="0.35">
      <c r="A124" s="1">
        <v>122</v>
      </c>
      <c r="B124" s="70"/>
      <c r="C124" s="25">
        <v>2019</v>
      </c>
      <c r="D124" s="25">
        <v>0</v>
      </c>
      <c r="E124" s="25">
        <v>0</v>
      </c>
    </row>
    <row r="125" spans="1:5" x14ac:dyDescent="0.35">
      <c r="A125" s="1">
        <v>123</v>
      </c>
      <c r="B125" s="70"/>
      <c r="C125" s="25">
        <v>2020</v>
      </c>
      <c r="D125" s="25">
        <v>0</v>
      </c>
      <c r="E125" s="25">
        <v>0</v>
      </c>
    </row>
    <row r="126" spans="1:5" x14ac:dyDescent="0.35">
      <c r="A126" s="1">
        <v>124</v>
      </c>
      <c r="B126" s="70"/>
      <c r="C126" s="25">
        <v>2021</v>
      </c>
      <c r="D126" s="25">
        <v>0</v>
      </c>
      <c r="E126" s="25">
        <v>0</v>
      </c>
    </row>
    <row r="127" spans="1:5" x14ac:dyDescent="0.35">
      <c r="A127" s="1">
        <v>125</v>
      </c>
      <c r="B127" s="70" t="s">
        <v>89</v>
      </c>
      <c r="C127" s="25">
        <v>2018</v>
      </c>
      <c r="D127" s="25">
        <v>1</v>
      </c>
      <c r="E127" s="25">
        <v>0</v>
      </c>
    </row>
    <row r="128" spans="1:5" x14ac:dyDescent="0.35">
      <c r="A128" s="1">
        <v>126</v>
      </c>
      <c r="B128" s="70"/>
      <c r="C128" s="25">
        <v>2019</v>
      </c>
      <c r="D128" s="25">
        <v>1</v>
      </c>
      <c r="E128" s="25">
        <v>0</v>
      </c>
    </row>
    <row r="129" spans="1:5" x14ac:dyDescent="0.35">
      <c r="A129" s="1">
        <v>127</v>
      </c>
      <c r="B129" s="70"/>
      <c r="C129" s="25">
        <v>2020</v>
      </c>
      <c r="D129" s="25">
        <v>0</v>
      </c>
      <c r="E129" s="25">
        <v>0</v>
      </c>
    </row>
    <row r="130" spans="1:5" x14ac:dyDescent="0.35">
      <c r="A130" s="1">
        <v>128</v>
      </c>
      <c r="B130" s="70"/>
      <c r="C130" s="25">
        <v>2021</v>
      </c>
      <c r="D130" s="25">
        <v>1</v>
      </c>
      <c r="E130" s="25">
        <v>0</v>
      </c>
    </row>
    <row r="131" spans="1:5" x14ac:dyDescent="0.35">
      <c r="A131" s="1">
        <v>133</v>
      </c>
      <c r="B131" s="70" t="s">
        <v>90</v>
      </c>
      <c r="C131" s="25">
        <v>2018</v>
      </c>
      <c r="D131" s="25">
        <v>1</v>
      </c>
      <c r="E131" s="25">
        <v>0</v>
      </c>
    </row>
    <row r="132" spans="1:5" x14ac:dyDescent="0.35">
      <c r="A132" s="1">
        <v>134</v>
      </c>
      <c r="B132" s="70"/>
      <c r="C132" s="25">
        <v>2019</v>
      </c>
      <c r="D132" s="25">
        <v>1</v>
      </c>
      <c r="E132" s="25">
        <v>0</v>
      </c>
    </row>
    <row r="133" spans="1:5" x14ac:dyDescent="0.35">
      <c r="A133" s="1">
        <v>135</v>
      </c>
      <c r="B133" s="70"/>
      <c r="C133" s="25">
        <v>2020</v>
      </c>
      <c r="D133" s="25">
        <v>0</v>
      </c>
      <c r="E133" s="25">
        <v>0</v>
      </c>
    </row>
    <row r="134" spans="1:5" x14ac:dyDescent="0.35">
      <c r="A134" s="1">
        <v>136</v>
      </c>
      <c r="B134" s="70"/>
      <c r="C134" s="25">
        <v>2021</v>
      </c>
      <c r="D134" s="25">
        <v>0</v>
      </c>
      <c r="E134" s="25">
        <v>0</v>
      </c>
    </row>
    <row r="135" spans="1:5" x14ac:dyDescent="0.35">
      <c r="A135" s="1">
        <v>137</v>
      </c>
      <c r="B135" s="70" t="s">
        <v>91</v>
      </c>
      <c r="C135" s="25">
        <v>2018</v>
      </c>
      <c r="D135" s="25">
        <v>1</v>
      </c>
      <c r="E135" s="25">
        <v>0</v>
      </c>
    </row>
    <row r="136" spans="1:5" x14ac:dyDescent="0.35">
      <c r="A136" s="1">
        <v>138</v>
      </c>
      <c r="B136" s="70"/>
      <c r="C136" s="25">
        <v>2019</v>
      </c>
      <c r="D136" s="25">
        <v>1</v>
      </c>
      <c r="E136" s="25">
        <v>0</v>
      </c>
    </row>
    <row r="137" spans="1:5" x14ac:dyDescent="0.35">
      <c r="A137" s="1">
        <v>139</v>
      </c>
      <c r="B137" s="70"/>
      <c r="C137" s="25">
        <v>2020</v>
      </c>
      <c r="D137" s="25">
        <v>0</v>
      </c>
      <c r="E137" s="25">
        <v>0</v>
      </c>
    </row>
    <row r="138" spans="1:5" x14ac:dyDescent="0.35">
      <c r="A138" s="1">
        <v>140</v>
      </c>
      <c r="B138" s="70"/>
      <c r="C138" s="25">
        <v>2021</v>
      </c>
      <c r="D138" s="25">
        <v>0</v>
      </c>
      <c r="E138" s="25">
        <v>0</v>
      </c>
    </row>
    <row r="139" spans="1:5" x14ac:dyDescent="0.35">
      <c r="A139" s="1">
        <v>141</v>
      </c>
      <c r="B139" s="70" t="s">
        <v>92</v>
      </c>
      <c r="C139" s="25">
        <v>2018</v>
      </c>
      <c r="D139" s="25">
        <v>1</v>
      </c>
      <c r="E139" s="25">
        <v>0</v>
      </c>
    </row>
    <row r="140" spans="1:5" x14ac:dyDescent="0.35">
      <c r="A140" s="1">
        <v>142</v>
      </c>
      <c r="B140" s="70"/>
      <c r="C140" s="25">
        <v>2019</v>
      </c>
      <c r="D140" s="25">
        <v>1</v>
      </c>
      <c r="E140" s="25">
        <v>0</v>
      </c>
    </row>
    <row r="141" spans="1:5" x14ac:dyDescent="0.35">
      <c r="A141" s="1">
        <v>143</v>
      </c>
      <c r="B141" s="70"/>
      <c r="C141" s="25">
        <v>2020</v>
      </c>
      <c r="D141" s="25">
        <v>1</v>
      </c>
      <c r="E141" s="25">
        <v>0</v>
      </c>
    </row>
    <row r="142" spans="1:5" x14ac:dyDescent="0.35">
      <c r="A142" s="1">
        <v>144</v>
      </c>
      <c r="B142" s="70"/>
      <c r="C142" s="25">
        <v>2021</v>
      </c>
      <c r="D142" s="25">
        <v>0</v>
      </c>
      <c r="E142" s="25">
        <v>0</v>
      </c>
    </row>
  </sheetData>
  <mergeCells count="35">
    <mergeCell ref="B23:B26"/>
    <mergeCell ref="B3:B6"/>
    <mergeCell ref="B7:B10"/>
    <mergeCell ref="B11:B14"/>
    <mergeCell ref="B15:B18"/>
    <mergeCell ref="B19:B22"/>
    <mergeCell ref="B71:B74"/>
    <mergeCell ref="B27:B30"/>
    <mergeCell ref="B31:B34"/>
    <mergeCell ref="B35:B38"/>
    <mergeCell ref="B39:B42"/>
    <mergeCell ref="B43:B46"/>
    <mergeCell ref="B47:B50"/>
    <mergeCell ref="B51:B54"/>
    <mergeCell ref="B55:B58"/>
    <mergeCell ref="B59:B62"/>
    <mergeCell ref="B63:B66"/>
    <mergeCell ref="B67:B70"/>
    <mergeCell ref="B119:B122"/>
    <mergeCell ref="B75:B78"/>
    <mergeCell ref="B79:B82"/>
    <mergeCell ref="B83:B86"/>
    <mergeCell ref="B87:B90"/>
    <mergeCell ref="B91:B94"/>
    <mergeCell ref="B95:B98"/>
    <mergeCell ref="B99:B102"/>
    <mergeCell ref="B103:B106"/>
    <mergeCell ref="B107:B110"/>
    <mergeCell ref="B111:B114"/>
    <mergeCell ref="B115:B118"/>
    <mergeCell ref="B123:B126"/>
    <mergeCell ref="B127:B130"/>
    <mergeCell ref="B131:B134"/>
    <mergeCell ref="B135:B138"/>
    <mergeCell ref="B139:B14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027F9-6784-4DDD-A5CD-4D76958C55C9}">
  <dimension ref="A1:M145"/>
  <sheetViews>
    <sheetView tabSelected="1" workbookViewId="0">
      <selection activeCell="D10" sqref="D10"/>
    </sheetView>
  </sheetViews>
  <sheetFormatPr defaultRowHeight="14.5" x14ac:dyDescent="0.35"/>
  <cols>
    <col min="5" max="5" width="8.7265625" style="47"/>
    <col min="6" max="6" width="9.08984375" bestFit="1" customWidth="1"/>
    <col min="8" max="8" width="16.54296875" bestFit="1" customWidth="1"/>
    <col min="9" max="9" width="15.90625" bestFit="1" customWidth="1"/>
    <col min="10" max="10" width="14.90625" bestFit="1" customWidth="1"/>
  </cols>
  <sheetData>
    <row r="1" spans="1:10" x14ac:dyDescent="0.35">
      <c r="A1" s="1" t="s">
        <v>0</v>
      </c>
      <c r="B1" s="1" t="s">
        <v>114</v>
      </c>
      <c r="C1" s="1" t="s">
        <v>2</v>
      </c>
      <c r="D1" s="1" t="s">
        <v>113</v>
      </c>
      <c r="E1" s="1" t="s">
        <v>97</v>
      </c>
      <c r="F1" s="1" t="s">
        <v>66</v>
      </c>
      <c r="G1" s="1" t="s">
        <v>68</v>
      </c>
      <c r="H1" s="1" t="s">
        <v>77</v>
      </c>
      <c r="I1" s="1" t="s">
        <v>70</v>
      </c>
      <c r="J1" s="1" t="s">
        <v>71</v>
      </c>
    </row>
    <row r="2" spans="1:10" x14ac:dyDescent="0.35">
      <c r="A2" s="1"/>
      <c r="B2" s="1"/>
      <c r="C2" s="1"/>
      <c r="D2" s="1" t="s">
        <v>76</v>
      </c>
      <c r="E2" s="1" t="s">
        <v>144</v>
      </c>
      <c r="F2" s="1" t="s">
        <v>67</v>
      </c>
      <c r="G2" s="1" t="s">
        <v>69</v>
      </c>
      <c r="H2" s="1" t="s">
        <v>73</v>
      </c>
      <c r="I2" s="1" t="s">
        <v>74</v>
      </c>
      <c r="J2" s="1" t="s">
        <v>75</v>
      </c>
    </row>
    <row r="3" spans="1:10" x14ac:dyDescent="0.35">
      <c r="A3" s="1">
        <v>1</v>
      </c>
      <c r="B3" s="70" t="s">
        <v>117</v>
      </c>
      <c r="C3" s="1">
        <v>2018</v>
      </c>
      <c r="D3" s="54">
        <f>'FScore(Y)'!F3</f>
        <v>-0.19840292976581952</v>
      </c>
      <c r="E3" s="1">
        <f t="shared" ref="E3:E34" si="0">IF(D3&lt;1,0,1)</f>
        <v>0</v>
      </c>
      <c r="F3" s="55">
        <f>'X1'!F3</f>
        <v>7.2473835952560864E-2</v>
      </c>
      <c r="G3" s="20">
        <f>'X2'!F3</f>
        <v>0.66666666666666663</v>
      </c>
      <c r="H3" s="1">
        <f>'X3'!E3</f>
        <v>0</v>
      </c>
      <c r="I3" s="1">
        <f>'X4 dan X5'!D3</f>
        <v>1</v>
      </c>
      <c r="J3" s="1">
        <f>'X4 dan X5'!E3</f>
        <v>1</v>
      </c>
    </row>
    <row r="4" spans="1:10" x14ac:dyDescent="0.35">
      <c r="A4" s="1">
        <v>2</v>
      </c>
      <c r="B4" s="70"/>
      <c r="C4" s="1">
        <v>2019</v>
      </c>
      <c r="D4" s="54">
        <f>'FScore(Y)'!F4</f>
        <v>-2.1812377723355054E-2</v>
      </c>
      <c r="E4" s="1">
        <f t="shared" si="0"/>
        <v>0</v>
      </c>
      <c r="F4" s="55">
        <f>'X1'!F4</f>
        <v>-6.4311201308550989E-2</v>
      </c>
      <c r="G4" s="20">
        <f>'X2'!F4</f>
        <v>0.5</v>
      </c>
      <c r="H4" s="1">
        <f>'X3'!E4</f>
        <v>1</v>
      </c>
      <c r="I4" s="1">
        <f>'X4 dan X5'!D4</f>
        <v>1</v>
      </c>
      <c r="J4" s="1">
        <f>'X4 dan X5'!E4</f>
        <v>0</v>
      </c>
    </row>
    <row r="5" spans="1:10" x14ac:dyDescent="0.35">
      <c r="A5" s="1">
        <v>3</v>
      </c>
      <c r="B5" s="70"/>
      <c r="C5" s="1">
        <v>2020</v>
      </c>
      <c r="D5" s="54">
        <f>'FScore(Y)'!F5</f>
        <v>-0.24739534257478288</v>
      </c>
      <c r="E5" s="1">
        <f t="shared" si="0"/>
        <v>0</v>
      </c>
      <c r="F5" s="55">
        <f>'X1'!F5</f>
        <v>-0.1829614606789437</v>
      </c>
      <c r="G5" s="20">
        <f>'X2'!F5</f>
        <v>0.5</v>
      </c>
      <c r="H5" s="1">
        <f>'X3'!E5</f>
        <v>0</v>
      </c>
      <c r="I5" s="1">
        <f>'X4 dan X5'!D5</f>
        <v>1</v>
      </c>
      <c r="J5" s="1">
        <f>'X4 dan X5'!E5</f>
        <v>0</v>
      </c>
    </row>
    <row r="6" spans="1:10" x14ac:dyDescent="0.35">
      <c r="A6" s="1">
        <v>4</v>
      </c>
      <c r="B6" s="70"/>
      <c r="C6" s="1">
        <v>2021</v>
      </c>
      <c r="D6" s="54">
        <f>'FScore(Y)'!F6</f>
        <v>3.8423968402472558E-2</v>
      </c>
      <c r="E6" s="1">
        <f t="shared" si="0"/>
        <v>0</v>
      </c>
      <c r="F6" s="55">
        <f>'X1'!F6</f>
        <v>0.44315016527119966</v>
      </c>
      <c r="G6" s="20">
        <f>'X2'!F6</f>
        <v>0.5</v>
      </c>
      <c r="H6" s="1">
        <f>'X3'!E6</f>
        <v>0</v>
      </c>
      <c r="I6" s="1">
        <f>'X4 dan X5'!D6</f>
        <v>0</v>
      </c>
      <c r="J6" s="1">
        <f>'X4 dan X5'!E6</f>
        <v>0</v>
      </c>
    </row>
    <row r="7" spans="1:10" x14ac:dyDescent="0.35">
      <c r="A7" s="1">
        <v>5</v>
      </c>
      <c r="B7" s="71" t="s">
        <v>4</v>
      </c>
      <c r="C7" s="1">
        <v>2018</v>
      </c>
      <c r="D7" s="54">
        <f>'FScore(Y)'!F8</f>
        <v>-5.6450862734814256E-2</v>
      </c>
      <c r="E7" s="1">
        <f t="shared" si="0"/>
        <v>0</v>
      </c>
      <c r="F7" s="55">
        <f>'X1'!F7</f>
        <v>0.12973504725588977</v>
      </c>
      <c r="G7" s="20">
        <f>'X2'!F7</f>
        <v>0.75</v>
      </c>
      <c r="H7" s="1">
        <f>'X3'!E7</f>
        <v>0</v>
      </c>
      <c r="I7" s="1">
        <f>'X4 dan X5'!D7</f>
        <v>1</v>
      </c>
      <c r="J7" s="1">
        <f>'X4 dan X5'!E7</f>
        <v>0</v>
      </c>
    </row>
    <row r="8" spans="1:10" x14ac:dyDescent="0.35">
      <c r="A8" s="1">
        <v>6</v>
      </c>
      <c r="B8" s="71"/>
      <c r="C8" s="1">
        <v>2019</v>
      </c>
      <c r="D8" s="54">
        <f>'FScore(Y)'!F9</f>
        <v>8.4670737913989047E-2</v>
      </c>
      <c r="E8" s="1">
        <f t="shared" si="0"/>
        <v>0</v>
      </c>
      <c r="F8" s="55">
        <f>'X1'!F8</f>
        <v>6.0017552426410974E-3</v>
      </c>
      <c r="G8" s="20">
        <f>'X2'!F8</f>
        <v>0.75</v>
      </c>
      <c r="H8" s="1">
        <f>'X3'!E8</f>
        <v>0</v>
      </c>
      <c r="I8" s="1">
        <f>'X4 dan X5'!D8</f>
        <v>0</v>
      </c>
      <c r="J8" s="1">
        <f>'X4 dan X5'!E8</f>
        <v>0</v>
      </c>
    </row>
    <row r="9" spans="1:10" x14ac:dyDescent="0.35">
      <c r="A9" s="1">
        <v>7</v>
      </c>
      <c r="B9" s="71"/>
      <c r="C9" s="1">
        <v>2020</v>
      </c>
      <c r="D9" s="54">
        <f>'FScore(Y)'!F10</f>
        <v>-0.68864257060086598</v>
      </c>
      <c r="E9" s="1">
        <f t="shared" si="0"/>
        <v>0</v>
      </c>
      <c r="F9" s="55">
        <f>'X1'!F9</f>
        <v>1.5685639055726487E-2</v>
      </c>
      <c r="G9" s="20">
        <f>'X2'!F9</f>
        <v>0.66666666666666663</v>
      </c>
      <c r="H9" s="1">
        <f>'X3'!E9</f>
        <v>1</v>
      </c>
      <c r="I9" s="1">
        <f>'X4 dan X5'!D9</f>
        <v>1</v>
      </c>
      <c r="J9" s="1">
        <f>'X4 dan X5'!E9</f>
        <v>1</v>
      </c>
    </row>
    <row r="10" spans="1:10" x14ac:dyDescent="0.35">
      <c r="A10" s="1">
        <v>8</v>
      </c>
      <c r="B10" s="71"/>
      <c r="C10" s="1">
        <v>2021</v>
      </c>
      <c r="D10" s="54">
        <f>'FScore(Y)'!F11</f>
        <v>1.7048387672324319</v>
      </c>
      <c r="E10" s="1">
        <f t="shared" si="0"/>
        <v>1</v>
      </c>
      <c r="F10" s="55">
        <f>'X1'!F10</f>
        <v>-9.9921832581488183E-3</v>
      </c>
      <c r="G10" s="20">
        <f>'X2'!F10</f>
        <v>0.66666666666666663</v>
      </c>
      <c r="H10" s="1">
        <f>'X3'!E10</f>
        <v>1</v>
      </c>
      <c r="I10" s="1">
        <f>'X4 dan X5'!D10</f>
        <v>1</v>
      </c>
      <c r="J10" s="1">
        <f>'X4 dan X5'!E10</f>
        <v>0</v>
      </c>
    </row>
    <row r="11" spans="1:10" x14ac:dyDescent="0.35">
      <c r="A11" s="1">
        <v>9</v>
      </c>
      <c r="B11" s="71" t="s">
        <v>5</v>
      </c>
      <c r="C11" s="1">
        <v>2018</v>
      </c>
      <c r="D11" s="54">
        <f>'FScore(Y)'!F13</f>
        <v>-1.4049192731345556E-2</v>
      </c>
      <c r="E11" s="1">
        <f t="shared" si="0"/>
        <v>0</v>
      </c>
      <c r="F11" s="55">
        <f>'X1'!F11</f>
        <v>0.13990937257357325</v>
      </c>
      <c r="G11" s="20">
        <f>'X2'!F11</f>
        <v>0.55555555555555558</v>
      </c>
      <c r="H11" s="1">
        <f>'X3'!E11</f>
        <v>0</v>
      </c>
      <c r="I11" s="1">
        <f>'X4 dan X5'!D11</f>
        <v>1</v>
      </c>
      <c r="J11" s="1">
        <f>'X4 dan X5'!E11</f>
        <v>1</v>
      </c>
    </row>
    <row r="12" spans="1:10" x14ac:dyDescent="0.35">
      <c r="A12" s="1">
        <v>10</v>
      </c>
      <c r="B12" s="71"/>
      <c r="C12" s="1">
        <v>2019</v>
      </c>
      <c r="D12" s="54">
        <f>'FScore(Y)'!F14</f>
        <v>3.5142430250450642E-2</v>
      </c>
      <c r="E12" s="1">
        <f t="shared" si="0"/>
        <v>0</v>
      </c>
      <c r="F12" s="55">
        <f>'X1'!F12</f>
        <v>4.5800740683812763E-2</v>
      </c>
      <c r="G12" s="20">
        <f>'X2'!F12</f>
        <v>0.625</v>
      </c>
      <c r="H12" s="1">
        <f>'X3'!E12</f>
        <v>0</v>
      </c>
      <c r="I12" s="1">
        <f>'X4 dan X5'!D12</f>
        <v>1</v>
      </c>
      <c r="J12" s="1">
        <f>'X4 dan X5'!E12</f>
        <v>0</v>
      </c>
    </row>
    <row r="13" spans="1:10" x14ac:dyDescent="0.35">
      <c r="A13" s="1">
        <v>11</v>
      </c>
      <c r="B13" s="71"/>
      <c r="C13" s="1">
        <v>2020</v>
      </c>
      <c r="D13" s="54">
        <f>'FScore(Y)'!F15</f>
        <v>-0.13688096083072815</v>
      </c>
      <c r="E13" s="1">
        <f t="shared" si="0"/>
        <v>0</v>
      </c>
      <c r="F13" s="55">
        <f>'X1'!F13</f>
        <v>5.4082231953330166E-2</v>
      </c>
      <c r="G13" s="20">
        <f>'X2'!F13</f>
        <v>0.6</v>
      </c>
      <c r="H13" s="1">
        <f>'X3'!E13</f>
        <v>0</v>
      </c>
      <c r="I13" s="1">
        <f>'X4 dan X5'!D13</f>
        <v>1</v>
      </c>
      <c r="J13" s="1">
        <f>'X4 dan X5'!E13</f>
        <v>0</v>
      </c>
    </row>
    <row r="14" spans="1:10" x14ac:dyDescent="0.35">
      <c r="A14" s="1">
        <v>12</v>
      </c>
      <c r="B14" s="71"/>
      <c r="C14" s="1">
        <v>2021</v>
      </c>
      <c r="D14" s="54">
        <f>'FScore(Y)'!F16</f>
        <v>-0.12222710881289107</v>
      </c>
      <c r="E14" s="1">
        <f t="shared" si="0"/>
        <v>0</v>
      </c>
      <c r="F14" s="55">
        <f>'X1'!F14</f>
        <v>8.2460653999802597E-2</v>
      </c>
      <c r="G14" s="20">
        <f>'X2'!F14</f>
        <v>0.7</v>
      </c>
      <c r="H14" s="1">
        <f>'X3'!E14</f>
        <v>1</v>
      </c>
      <c r="I14" s="1">
        <f>'X4 dan X5'!D14</f>
        <v>1</v>
      </c>
      <c r="J14" s="1">
        <f>'X4 dan X5'!E14</f>
        <v>0</v>
      </c>
    </row>
    <row r="15" spans="1:10" x14ac:dyDescent="0.35">
      <c r="A15" s="1">
        <v>13</v>
      </c>
      <c r="B15" s="71" t="s">
        <v>6</v>
      </c>
      <c r="C15" s="1">
        <v>2018</v>
      </c>
      <c r="D15" s="54">
        <f>'FScore(Y)'!F18</f>
        <v>-4.1393197862100439E-3</v>
      </c>
      <c r="E15" s="1">
        <f t="shared" si="0"/>
        <v>0</v>
      </c>
      <c r="F15" s="55">
        <f>'X1'!F15</f>
        <v>0.1724442100411146</v>
      </c>
      <c r="G15" s="20">
        <f>'X2'!F15</f>
        <v>0.55555555555555558</v>
      </c>
      <c r="H15" s="1">
        <f>'X3'!E15</f>
        <v>0</v>
      </c>
      <c r="I15" s="1">
        <f>'X4 dan X5'!D15</f>
        <v>1</v>
      </c>
      <c r="J15" s="1">
        <f>'X4 dan X5'!E15</f>
        <v>0</v>
      </c>
    </row>
    <row r="16" spans="1:10" x14ac:dyDescent="0.35">
      <c r="A16" s="1">
        <v>14</v>
      </c>
      <c r="B16" s="71"/>
      <c r="C16" s="1">
        <v>2019</v>
      </c>
      <c r="D16" s="54">
        <f>'FScore(Y)'!F19</f>
        <v>9.4276091302000181E-2</v>
      </c>
      <c r="E16" s="1">
        <f t="shared" si="0"/>
        <v>0</v>
      </c>
      <c r="F16" s="55">
        <f>'X1'!F16</f>
        <v>1.7428208888405655E-2</v>
      </c>
      <c r="G16" s="20">
        <f>'X2'!F16</f>
        <v>0.5</v>
      </c>
      <c r="H16" s="1">
        <f>'X3'!E16</f>
        <v>0</v>
      </c>
      <c r="I16" s="1">
        <f>'X4 dan X5'!D16</f>
        <v>1</v>
      </c>
      <c r="J16" s="1">
        <f>'X4 dan X5'!E16</f>
        <v>1</v>
      </c>
    </row>
    <row r="17" spans="1:10" x14ac:dyDescent="0.35">
      <c r="A17" s="1">
        <v>15</v>
      </c>
      <c r="B17" s="71"/>
      <c r="C17" s="1">
        <v>2020</v>
      </c>
      <c r="D17" s="54">
        <f>'FScore(Y)'!F20</f>
        <v>-4.250413025691268E-2</v>
      </c>
      <c r="E17" s="1">
        <f t="shared" si="0"/>
        <v>0</v>
      </c>
      <c r="F17" s="55">
        <f>'X1'!F17</f>
        <v>0.15854795340980249</v>
      </c>
      <c r="G17" s="20">
        <f>'X2'!F17</f>
        <v>0.5</v>
      </c>
      <c r="H17" s="1">
        <f>'X3'!E17</f>
        <v>0</v>
      </c>
      <c r="I17" s="1">
        <f>'X4 dan X5'!D17</f>
        <v>0</v>
      </c>
      <c r="J17" s="1">
        <f>'X4 dan X5'!E17</f>
        <v>1</v>
      </c>
    </row>
    <row r="18" spans="1:10" x14ac:dyDescent="0.35">
      <c r="A18" s="1">
        <v>16</v>
      </c>
      <c r="B18" s="71"/>
      <c r="C18" s="1">
        <v>2021</v>
      </c>
      <c r="D18" s="54">
        <f>'FScore(Y)'!F21</f>
        <v>-1.6695151779572145E-2</v>
      </c>
      <c r="E18" s="1">
        <f t="shared" si="0"/>
        <v>0</v>
      </c>
      <c r="F18" s="55">
        <f>'X1'!F18</f>
        <v>2.9511785503685096E-2</v>
      </c>
      <c r="G18" s="20">
        <f>'X2'!F18</f>
        <v>0.5714285714285714</v>
      </c>
      <c r="H18" s="1">
        <f>'X3'!E18</f>
        <v>0</v>
      </c>
      <c r="I18" s="1">
        <f>'X4 dan X5'!D18</f>
        <v>1</v>
      </c>
      <c r="J18" s="1">
        <f>'X4 dan X5'!E18</f>
        <v>0</v>
      </c>
    </row>
    <row r="19" spans="1:10" x14ac:dyDescent="0.35">
      <c r="A19" s="1">
        <v>17</v>
      </c>
      <c r="B19" s="71" t="s">
        <v>7</v>
      </c>
      <c r="C19" s="1">
        <v>2018</v>
      </c>
      <c r="D19" s="54">
        <f>'FScore(Y)'!F23</f>
        <v>0.54940431604201667</v>
      </c>
      <c r="E19" s="1">
        <f t="shared" si="0"/>
        <v>0</v>
      </c>
      <c r="F19" s="55">
        <f>'X1'!F19</f>
        <v>-5.6355890881692808E-2</v>
      </c>
      <c r="G19" s="20">
        <f>'X2'!F19</f>
        <v>0.33333333333333331</v>
      </c>
      <c r="H19" s="1">
        <f>'X3'!E19</f>
        <v>0</v>
      </c>
      <c r="I19" s="1">
        <f>'X4 dan X5'!D19</f>
        <v>1</v>
      </c>
      <c r="J19" s="1">
        <f>'X4 dan X5'!E19</f>
        <v>1</v>
      </c>
    </row>
    <row r="20" spans="1:10" x14ac:dyDescent="0.35">
      <c r="A20" s="1">
        <v>18</v>
      </c>
      <c r="B20" s="71"/>
      <c r="C20" s="1">
        <v>2019</v>
      </c>
      <c r="D20" s="54">
        <f>'FScore(Y)'!F24</f>
        <v>0.13547312530646227</v>
      </c>
      <c r="E20" s="1">
        <f t="shared" si="0"/>
        <v>0</v>
      </c>
      <c r="F20" s="55">
        <f>'X1'!F20</f>
        <v>-2.0131351929495951E-2</v>
      </c>
      <c r="G20" s="20">
        <f>'X2'!F20</f>
        <v>0.33333333333333331</v>
      </c>
      <c r="H20" s="1">
        <f>'X3'!E20</f>
        <v>0</v>
      </c>
      <c r="I20" s="1">
        <f>'X4 dan X5'!D20</f>
        <v>1</v>
      </c>
      <c r="J20" s="1">
        <f>'X4 dan X5'!E20</f>
        <v>1</v>
      </c>
    </row>
    <row r="21" spans="1:10" x14ac:dyDescent="0.35">
      <c r="A21" s="1">
        <v>19</v>
      </c>
      <c r="B21" s="71"/>
      <c r="C21" s="1">
        <v>2020</v>
      </c>
      <c r="D21" s="54">
        <f>'FScore(Y)'!F25</f>
        <v>-0.13647549738282233</v>
      </c>
      <c r="E21" s="1">
        <f t="shared" si="0"/>
        <v>0</v>
      </c>
      <c r="F21" s="55">
        <f>'X1'!F21</f>
        <v>3.8974207513133664E-2</v>
      </c>
      <c r="G21" s="20">
        <f>'X2'!F21</f>
        <v>0.33333333333333331</v>
      </c>
      <c r="H21" s="1">
        <f>'X3'!E21</f>
        <v>0</v>
      </c>
      <c r="I21" s="1">
        <f>'X4 dan X5'!D21</f>
        <v>1</v>
      </c>
      <c r="J21" s="1">
        <f>'X4 dan X5'!E21</f>
        <v>1</v>
      </c>
    </row>
    <row r="22" spans="1:10" x14ac:dyDescent="0.35">
      <c r="A22" s="1">
        <v>20</v>
      </c>
      <c r="B22" s="71"/>
      <c r="C22" s="1">
        <v>2021</v>
      </c>
      <c r="D22" s="54">
        <f>'FScore(Y)'!F26</f>
        <v>0.10666339495079756</v>
      </c>
      <c r="E22" s="1">
        <f t="shared" si="0"/>
        <v>0</v>
      </c>
      <c r="F22" s="55">
        <f>'X1'!F22</f>
        <v>0.13362384385012605</v>
      </c>
      <c r="G22" s="20">
        <f>'X2'!F22</f>
        <v>0.33333333333333331</v>
      </c>
      <c r="H22" s="1">
        <f>'X3'!E22</f>
        <v>0</v>
      </c>
      <c r="I22" s="1">
        <f>'X4 dan X5'!D22</f>
        <v>1</v>
      </c>
      <c r="J22" s="1">
        <f>'X4 dan X5'!E22</f>
        <v>1</v>
      </c>
    </row>
    <row r="23" spans="1:10" x14ac:dyDescent="0.35">
      <c r="A23" s="1">
        <v>21</v>
      </c>
      <c r="B23" s="71" t="s">
        <v>8</v>
      </c>
      <c r="C23" s="1">
        <v>2018</v>
      </c>
      <c r="D23" s="54">
        <f>'FScore(Y)'!F28</f>
        <v>4.9778599612096981E-3</v>
      </c>
      <c r="E23" s="1">
        <f t="shared" si="0"/>
        <v>0</v>
      </c>
      <c r="F23" s="55">
        <f>'X1'!F23</f>
        <v>4.7712530842812136E-2</v>
      </c>
      <c r="G23" s="20">
        <f>'X2'!F23</f>
        <v>0.5</v>
      </c>
      <c r="H23" s="1">
        <f>'X3'!E23</f>
        <v>0</v>
      </c>
      <c r="I23" s="1">
        <f>'X4 dan X5'!D23</f>
        <v>1</v>
      </c>
      <c r="J23" s="1">
        <f>'X4 dan X5'!E23</f>
        <v>1</v>
      </c>
    </row>
    <row r="24" spans="1:10" x14ac:dyDescent="0.35">
      <c r="A24" s="1">
        <v>22</v>
      </c>
      <c r="B24" s="71"/>
      <c r="C24" s="1">
        <v>2019</v>
      </c>
      <c r="D24" s="54">
        <f>'FScore(Y)'!F29</f>
        <v>-0.10184305911932798</v>
      </c>
      <c r="E24" s="1">
        <f t="shared" si="0"/>
        <v>0</v>
      </c>
      <c r="F24" s="55">
        <f>'X1'!F24</f>
        <v>3.6258843592800252E-2</v>
      </c>
      <c r="G24" s="20">
        <f>'X2'!F24</f>
        <v>0.5</v>
      </c>
      <c r="H24" s="1">
        <f>'X3'!E24</f>
        <v>0</v>
      </c>
      <c r="I24" s="1">
        <f>'X4 dan X5'!D24</f>
        <v>1</v>
      </c>
      <c r="J24" s="1">
        <f>'X4 dan X5'!E24</f>
        <v>1</v>
      </c>
    </row>
    <row r="25" spans="1:10" x14ac:dyDescent="0.35">
      <c r="A25" s="1">
        <v>23</v>
      </c>
      <c r="B25" s="71"/>
      <c r="C25" s="1">
        <v>2020</v>
      </c>
      <c r="D25" s="54">
        <f>'FScore(Y)'!F30</f>
        <v>-0.19522420580213729</v>
      </c>
      <c r="E25" s="1">
        <f t="shared" si="0"/>
        <v>0</v>
      </c>
      <c r="F25" s="55">
        <f>'X1'!F25</f>
        <v>3.8009337585541182E-2</v>
      </c>
      <c r="G25" s="20">
        <f>'X2'!F25</f>
        <v>0.5</v>
      </c>
      <c r="H25" s="1">
        <f>'X3'!E25</f>
        <v>0</v>
      </c>
      <c r="I25" s="1">
        <f>'X4 dan X5'!D25</f>
        <v>0</v>
      </c>
      <c r="J25" s="1">
        <f>'X4 dan X5'!E25</f>
        <v>0</v>
      </c>
    </row>
    <row r="26" spans="1:10" x14ac:dyDescent="0.35">
      <c r="A26" s="1">
        <v>24</v>
      </c>
      <c r="B26" s="71"/>
      <c r="C26" s="1">
        <v>2021</v>
      </c>
      <c r="D26" s="54">
        <f>'FScore(Y)'!F31</f>
        <v>5.9473899014668069E-2</v>
      </c>
      <c r="E26" s="1">
        <f t="shared" si="0"/>
        <v>0</v>
      </c>
      <c r="F26" s="55">
        <f>'X1'!F26</f>
        <v>-4.3060217392131103E-2</v>
      </c>
      <c r="G26" s="20">
        <f>'X2'!F26</f>
        <v>0.5</v>
      </c>
      <c r="H26" s="1">
        <f>'X3'!E26</f>
        <v>1</v>
      </c>
      <c r="I26" s="1">
        <f>'X4 dan X5'!D26</f>
        <v>0</v>
      </c>
      <c r="J26" s="1">
        <f>'X4 dan X5'!E26</f>
        <v>0</v>
      </c>
    </row>
    <row r="27" spans="1:10" x14ac:dyDescent="0.35">
      <c r="A27" s="1">
        <v>25</v>
      </c>
      <c r="B27" s="71" t="s">
        <v>9</v>
      </c>
      <c r="C27" s="1">
        <v>2018</v>
      </c>
      <c r="D27" s="54">
        <f>'FScore(Y)'!F33</f>
        <v>0.41867518427627093</v>
      </c>
      <c r="E27" s="1">
        <f t="shared" si="0"/>
        <v>0</v>
      </c>
      <c r="F27" s="55">
        <f>'X1'!F27</f>
        <v>0.15980030179685795</v>
      </c>
      <c r="G27" s="20">
        <f>'X2'!F27</f>
        <v>0.5</v>
      </c>
      <c r="H27" s="1">
        <f>'X3'!E27</f>
        <v>0</v>
      </c>
      <c r="I27" s="1">
        <f>'X4 dan X5'!D27</f>
        <v>0</v>
      </c>
      <c r="J27" s="1">
        <f>'X4 dan X5'!E27</f>
        <v>1</v>
      </c>
    </row>
    <row r="28" spans="1:10" x14ac:dyDescent="0.35">
      <c r="A28" s="1">
        <v>26</v>
      </c>
      <c r="B28" s="71"/>
      <c r="C28" s="1">
        <v>2019</v>
      </c>
      <c r="D28" s="54">
        <f>'FScore(Y)'!F34</f>
        <v>-9.0152443658912521E-2</v>
      </c>
      <c r="E28" s="1">
        <f t="shared" si="0"/>
        <v>0</v>
      </c>
      <c r="F28" s="55">
        <f>'X1'!F28</f>
        <v>-1.4474843603740171E-3</v>
      </c>
      <c r="G28" s="20">
        <f>'X2'!F28</f>
        <v>0.42857142857142855</v>
      </c>
      <c r="H28" s="1">
        <f>'X3'!E28</f>
        <v>0</v>
      </c>
      <c r="I28" s="1">
        <f>'X4 dan X5'!D28</f>
        <v>1</v>
      </c>
      <c r="J28" s="1">
        <f>'X4 dan X5'!E28</f>
        <v>1</v>
      </c>
    </row>
    <row r="29" spans="1:10" x14ac:dyDescent="0.35">
      <c r="A29" s="1">
        <v>27</v>
      </c>
      <c r="B29" s="71"/>
      <c r="C29" s="1">
        <v>2020</v>
      </c>
      <c r="D29" s="54">
        <f>'FScore(Y)'!F35</f>
        <v>-0.30753782017856363</v>
      </c>
      <c r="E29" s="1">
        <f t="shared" si="0"/>
        <v>0</v>
      </c>
      <c r="F29" s="55">
        <f>'X1'!F29</f>
        <v>-0.20372848446064939</v>
      </c>
      <c r="G29" s="20">
        <f>'X2'!F29</f>
        <v>0.42857142857142855</v>
      </c>
      <c r="H29" s="1">
        <f>'X3'!E29</f>
        <v>0</v>
      </c>
      <c r="I29" s="1">
        <f>'X4 dan X5'!D29</f>
        <v>0</v>
      </c>
      <c r="J29" s="1">
        <f>'X4 dan X5'!E29</f>
        <v>1</v>
      </c>
    </row>
    <row r="30" spans="1:10" x14ac:dyDescent="0.35">
      <c r="A30" s="1">
        <v>28</v>
      </c>
      <c r="B30" s="71"/>
      <c r="C30" s="1">
        <v>2021</v>
      </c>
      <c r="D30" s="54">
        <f>'FScore(Y)'!F36</f>
        <v>-9.0383033000830643E-2</v>
      </c>
      <c r="E30" s="1">
        <f t="shared" si="0"/>
        <v>0</v>
      </c>
      <c r="F30" s="55">
        <f>'X1'!F30</f>
        <v>2.8631105058106194E-2</v>
      </c>
      <c r="G30" s="20">
        <f>'X2'!F30</f>
        <v>0.33333333333333331</v>
      </c>
      <c r="H30" s="1">
        <f>'X3'!E30</f>
        <v>0</v>
      </c>
      <c r="I30" s="1">
        <f>'X4 dan X5'!D30</f>
        <v>0</v>
      </c>
      <c r="J30" s="1">
        <f>'X4 dan X5'!E30</f>
        <v>1</v>
      </c>
    </row>
    <row r="31" spans="1:10" x14ac:dyDescent="0.35">
      <c r="A31" s="1">
        <v>29</v>
      </c>
      <c r="B31" s="71" t="s">
        <v>10</v>
      </c>
      <c r="C31" s="1">
        <v>2018</v>
      </c>
      <c r="D31" s="54">
        <f>'FScore(Y)'!F38</f>
        <v>3.6243318982429884E-2</v>
      </c>
      <c r="E31" s="1">
        <f t="shared" si="0"/>
        <v>0</v>
      </c>
      <c r="F31" s="55">
        <f>'X1'!F31</f>
        <v>1.7875826088504271E-3</v>
      </c>
      <c r="G31" s="20">
        <f>'X2'!F31</f>
        <v>0.4</v>
      </c>
      <c r="H31" s="1">
        <f>'X3'!E31</f>
        <v>0</v>
      </c>
      <c r="I31" s="1">
        <f>'X4 dan X5'!D31</f>
        <v>1</v>
      </c>
      <c r="J31" s="1">
        <f>'X4 dan X5'!E31</f>
        <v>1</v>
      </c>
    </row>
    <row r="32" spans="1:10" x14ac:dyDescent="0.35">
      <c r="A32" s="1">
        <v>30</v>
      </c>
      <c r="B32" s="71"/>
      <c r="C32" s="1">
        <v>2019</v>
      </c>
      <c r="D32" s="54">
        <f>'FScore(Y)'!F39</f>
        <v>2.9984470838653486E-2</v>
      </c>
      <c r="E32" s="1">
        <f t="shared" si="0"/>
        <v>0</v>
      </c>
      <c r="F32" s="55">
        <f>'X1'!F32</f>
        <v>2.8809078056829862E-2</v>
      </c>
      <c r="G32" s="20">
        <f>'X2'!F32</f>
        <v>0.5</v>
      </c>
      <c r="H32" s="1">
        <f>'X3'!E32</f>
        <v>0</v>
      </c>
      <c r="I32" s="1">
        <f>'X4 dan X5'!D32</f>
        <v>1</v>
      </c>
      <c r="J32" s="1">
        <f>'X4 dan X5'!E32</f>
        <v>1</v>
      </c>
    </row>
    <row r="33" spans="1:10" x14ac:dyDescent="0.35">
      <c r="A33" s="1">
        <v>31</v>
      </c>
      <c r="B33" s="71"/>
      <c r="C33" s="1">
        <v>2020</v>
      </c>
      <c r="D33" s="54">
        <f>'FScore(Y)'!F40</f>
        <v>-0.15633807369462527</v>
      </c>
      <c r="E33" s="1">
        <f t="shared" si="0"/>
        <v>0</v>
      </c>
      <c r="F33" s="55">
        <f>'X1'!F33</f>
        <v>2.3596179663373799E-2</v>
      </c>
      <c r="G33" s="20">
        <f>'X2'!F33</f>
        <v>0.33333333333333331</v>
      </c>
      <c r="H33" s="1">
        <f>'X3'!E33</f>
        <v>0</v>
      </c>
      <c r="I33" s="1">
        <f>'X4 dan X5'!D33</f>
        <v>1</v>
      </c>
      <c r="J33" s="1">
        <f>'X4 dan X5'!E33</f>
        <v>1</v>
      </c>
    </row>
    <row r="34" spans="1:10" x14ac:dyDescent="0.35">
      <c r="A34" s="1">
        <v>32</v>
      </c>
      <c r="B34" s="71"/>
      <c r="C34" s="1">
        <v>2021</v>
      </c>
      <c r="D34" s="54">
        <f>'FScore(Y)'!F41</f>
        <v>6.6769427819196259E-2</v>
      </c>
      <c r="E34" s="1">
        <f t="shared" si="0"/>
        <v>0</v>
      </c>
      <c r="F34" s="55">
        <f>'X1'!F34</f>
        <v>0.10622542912126438</v>
      </c>
      <c r="G34" s="20">
        <f>'X2'!F34</f>
        <v>0.5</v>
      </c>
      <c r="H34" s="1">
        <f>'X3'!E34</f>
        <v>0</v>
      </c>
      <c r="I34" s="1">
        <f>'X4 dan X5'!D34</f>
        <v>1</v>
      </c>
      <c r="J34" s="1">
        <f>'X4 dan X5'!E34</f>
        <v>1</v>
      </c>
    </row>
    <row r="35" spans="1:10" x14ac:dyDescent="0.35">
      <c r="A35" s="1">
        <v>33</v>
      </c>
      <c r="B35" s="71" t="s">
        <v>11</v>
      </c>
      <c r="C35" s="1">
        <v>2018</v>
      </c>
      <c r="D35" s="54">
        <f>'FScore(Y)'!F43</f>
        <v>-0.17180835004450754</v>
      </c>
      <c r="E35" s="1">
        <f t="shared" ref="E35:E66" si="1">IF(D35&lt;1,0,1)</f>
        <v>0</v>
      </c>
      <c r="F35" s="55">
        <f>'X1'!F35</f>
        <v>2.4700033317077576E-2</v>
      </c>
      <c r="G35" s="20">
        <f>'X2'!F35</f>
        <v>0.5</v>
      </c>
      <c r="H35" s="1">
        <f>'X3'!E35</f>
        <v>0</v>
      </c>
      <c r="I35" s="1">
        <f>'X4 dan X5'!D35</f>
        <v>1</v>
      </c>
      <c r="J35" s="1">
        <f>'X4 dan X5'!E35</f>
        <v>1</v>
      </c>
    </row>
    <row r="36" spans="1:10" x14ac:dyDescent="0.35">
      <c r="A36" s="1">
        <v>34</v>
      </c>
      <c r="B36" s="71"/>
      <c r="C36" s="1">
        <v>2019</v>
      </c>
      <c r="D36" s="54">
        <f>'FScore(Y)'!F44</f>
        <v>0.20563519574351558</v>
      </c>
      <c r="E36" s="1">
        <f t="shared" si="1"/>
        <v>0</v>
      </c>
      <c r="F36" s="55">
        <f>'X1'!F36</f>
        <v>-4.7596980610766712E-2</v>
      </c>
      <c r="G36" s="20">
        <f>'X2'!F36</f>
        <v>0.5</v>
      </c>
      <c r="H36" s="1">
        <f>'X3'!E36</f>
        <v>0</v>
      </c>
      <c r="I36" s="1">
        <f>'X4 dan X5'!D36</f>
        <v>1</v>
      </c>
      <c r="J36" s="1">
        <f>'X4 dan X5'!E36</f>
        <v>1</v>
      </c>
    </row>
    <row r="37" spans="1:10" x14ac:dyDescent="0.35">
      <c r="A37" s="1">
        <v>35</v>
      </c>
      <c r="B37" s="71"/>
      <c r="C37" s="1">
        <v>2020</v>
      </c>
      <c r="D37" s="54">
        <f>'FScore(Y)'!F45</f>
        <v>-7.33567671482519E-2</v>
      </c>
      <c r="E37" s="1">
        <f t="shared" si="1"/>
        <v>0</v>
      </c>
      <c r="F37" s="55">
        <f>'X1'!F37</f>
        <v>2.4494397213484065E-2</v>
      </c>
      <c r="G37" s="20">
        <f>'X2'!F37</f>
        <v>0.5</v>
      </c>
      <c r="H37" s="1">
        <f>'X3'!E37</f>
        <v>0</v>
      </c>
      <c r="I37" s="1">
        <f>'X4 dan X5'!D37</f>
        <v>1</v>
      </c>
      <c r="J37" s="1">
        <f>'X4 dan X5'!E37</f>
        <v>1</v>
      </c>
    </row>
    <row r="38" spans="1:10" x14ac:dyDescent="0.35">
      <c r="A38" s="1">
        <v>36</v>
      </c>
      <c r="B38" s="71"/>
      <c r="C38" s="1">
        <v>2021</v>
      </c>
      <c r="D38" s="54">
        <f>'FScore(Y)'!F46</f>
        <v>-9.201919235376875E-2</v>
      </c>
      <c r="E38" s="1">
        <f t="shared" si="1"/>
        <v>0</v>
      </c>
      <c r="F38" s="55">
        <f>'X1'!F38</f>
        <v>-2.5781216102497145E-2</v>
      </c>
      <c r="G38" s="20">
        <f>'X2'!F38</f>
        <v>0.5714285714285714</v>
      </c>
      <c r="H38" s="1">
        <f>'X3'!E38</f>
        <v>0</v>
      </c>
      <c r="I38" s="1">
        <f>'X4 dan X5'!D38</f>
        <v>1</v>
      </c>
      <c r="J38" s="1">
        <f>'X4 dan X5'!E38</f>
        <v>1</v>
      </c>
    </row>
    <row r="39" spans="1:10" x14ac:dyDescent="0.35">
      <c r="A39" s="1">
        <v>37</v>
      </c>
      <c r="B39" s="71" t="s">
        <v>12</v>
      </c>
      <c r="C39" s="1">
        <v>2018</v>
      </c>
      <c r="D39" s="54">
        <f>'FScore(Y)'!F48</f>
        <v>-0.16987753418303958</v>
      </c>
      <c r="E39" s="1">
        <f t="shared" si="1"/>
        <v>0</v>
      </c>
      <c r="F39" s="55">
        <f>'X1'!F39</f>
        <v>3.077291282847644E-2</v>
      </c>
      <c r="G39" s="20">
        <f>'X2'!F39</f>
        <v>0.5</v>
      </c>
      <c r="H39" s="1">
        <f>'X3'!E39</f>
        <v>0</v>
      </c>
      <c r="I39" s="1">
        <f>'X4 dan X5'!D39</f>
        <v>1</v>
      </c>
      <c r="J39" s="1">
        <f>'X4 dan X5'!E39</f>
        <v>0</v>
      </c>
    </row>
    <row r="40" spans="1:10" x14ac:dyDescent="0.35">
      <c r="A40" s="1">
        <v>38</v>
      </c>
      <c r="B40" s="71"/>
      <c r="C40" s="1">
        <v>2019</v>
      </c>
      <c r="D40" s="54">
        <f>'FScore(Y)'!F49</f>
        <v>-5.6707035398179603E-3</v>
      </c>
      <c r="E40" s="1">
        <f t="shared" si="1"/>
        <v>0</v>
      </c>
      <c r="F40" s="55">
        <f>'X1'!F40</f>
        <v>5.5976405073079077E-2</v>
      </c>
      <c r="G40" s="20">
        <f>'X2'!F40</f>
        <v>0.5</v>
      </c>
      <c r="H40" s="1">
        <f>'X3'!E40</f>
        <v>0</v>
      </c>
      <c r="I40" s="1">
        <f>'X4 dan X5'!D40</f>
        <v>1</v>
      </c>
      <c r="J40" s="1">
        <f>'X4 dan X5'!E40</f>
        <v>1</v>
      </c>
    </row>
    <row r="41" spans="1:10" x14ac:dyDescent="0.35">
      <c r="A41" s="1">
        <v>39</v>
      </c>
      <c r="B41" s="71"/>
      <c r="C41" s="1">
        <v>2020</v>
      </c>
      <c r="D41" s="54">
        <f>'FScore(Y)'!F50</f>
        <v>0.11485175353618421</v>
      </c>
      <c r="E41" s="1">
        <f t="shared" si="1"/>
        <v>0</v>
      </c>
      <c r="F41" s="55">
        <f>'X1'!F41</f>
        <v>0.22467980878365279</v>
      </c>
      <c r="G41" s="20">
        <f>'X2'!F41</f>
        <v>0.5</v>
      </c>
      <c r="H41" s="1">
        <f>'X3'!E41</f>
        <v>0</v>
      </c>
      <c r="I41" s="1">
        <f>'X4 dan X5'!D41</f>
        <v>0</v>
      </c>
      <c r="J41" s="1">
        <f>'X4 dan X5'!E41</f>
        <v>1</v>
      </c>
    </row>
    <row r="42" spans="1:10" x14ac:dyDescent="0.35">
      <c r="A42" s="1">
        <v>40</v>
      </c>
      <c r="B42" s="71"/>
      <c r="C42" s="1">
        <v>2021</v>
      </c>
      <c r="D42" s="54">
        <f>'FScore(Y)'!F51</f>
        <v>-2.4415918259022992E-2</v>
      </c>
      <c r="E42" s="1">
        <f t="shared" si="1"/>
        <v>0</v>
      </c>
      <c r="F42" s="55">
        <f>'X1'!F42</f>
        <v>0.18537231835411186</v>
      </c>
      <c r="G42" s="20">
        <f>'X2'!F42</f>
        <v>0.5714285714285714</v>
      </c>
      <c r="H42" s="1">
        <f>'X3'!E42</f>
        <v>0</v>
      </c>
      <c r="I42" s="1">
        <f>'X4 dan X5'!D42</f>
        <v>1</v>
      </c>
      <c r="J42" s="1">
        <f>'X4 dan X5'!E42</f>
        <v>0</v>
      </c>
    </row>
    <row r="43" spans="1:10" x14ac:dyDescent="0.35">
      <c r="A43" s="1">
        <v>41</v>
      </c>
      <c r="B43" s="71" t="s">
        <v>13</v>
      </c>
      <c r="C43" s="1">
        <v>2018</v>
      </c>
      <c r="D43" s="54">
        <f>'FScore(Y)'!F53</f>
        <v>0.12713977769178098</v>
      </c>
      <c r="E43" s="1">
        <f t="shared" si="1"/>
        <v>0</v>
      </c>
      <c r="F43" s="55">
        <f>'X1'!F43</f>
        <v>6.7931799119470421E-2</v>
      </c>
      <c r="G43" s="20">
        <f>'X2'!F43</f>
        <v>0.33333333333333331</v>
      </c>
      <c r="H43" s="1">
        <f>'X3'!E43</f>
        <v>0</v>
      </c>
      <c r="I43" s="1">
        <f>'X4 dan X5'!D43</f>
        <v>1</v>
      </c>
      <c r="J43" s="1">
        <f>'X4 dan X5'!E43</f>
        <v>1</v>
      </c>
    </row>
    <row r="44" spans="1:10" x14ac:dyDescent="0.35">
      <c r="A44" s="1">
        <v>42</v>
      </c>
      <c r="B44" s="71"/>
      <c r="C44" s="1">
        <v>2019</v>
      </c>
      <c r="D44" s="54">
        <f>'FScore(Y)'!F54</f>
        <v>6.9550104050011621E-2</v>
      </c>
      <c r="E44" s="1">
        <f t="shared" si="1"/>
        <v>0</v>
      </c>
      <c r="F44" s="55">
        <f>'X1'!F44</f>
        <v>0.11494670143842602</v>
      </c>
      <c r="G44" s="20">
        <f>'X2'!F44</f>
        <v>0.33333333333333331</v>
      </c>
      <c r="H44" s="1">
        <f>'X3'!E44</f>
        <v>0</v>
      </c>
      <c r="I44" s="1">
        <f>'X4 dan X5'!D44</f>
        <v>0</v>
      </c>
      <c r="J44" s="1">
        <f>'X4 dan X5'!E44</f>
        <v>1</v>
      </c>
    </row>
    <row r="45" spans="1:10" x14ac:dyDescent="0.35">
      <c r="A45" s="1">
        <v>43</v>
      </c>
      <c r="B45" s="71"/>
      <c r="C45" s="1">
        <v>2020</v>
      </c>
      <c r="D45" s="54">
        <f>'FScore(Y)'!F55</f>
        <v>-7.5498452534777022E-2</v>
      </c>
      <c r="E45" s="1">
        <f t="shared" si="1"/>
        <v>0</v>
      </c>
      <c r="F45" s="55">
        <f>'X1'!F45</f>
        <v>-0.16762151209847875</v>
      </c>
      <c r="G45" s="20">
        <f>'X2'!F45</f>
        <v>0.33333333333333331</v>
      </c>
      <c r="H45" s="1">
        <f>'X3'!E45</f>
        <v>0</v>
      </c>
      <c r="I45" s="1">
        <f>'X4 dan X5'!D45</f>
        <v>1</v>
      </c>
      <c r="J45" s="1">
        <f>'X4 dan X5'!E45</f>
        <v>1</v>
      </c>
    </row>
    <row r="46" spans="1:10" x14ac:dyDescent="0.35">
      <c r="A46" s="1">
        <v>44</v>
      </c>
      <c r="B46" s="71"/>
      <c r="C46" s="1">
        <v>2021</v>
      </c>
      <c r="D46" s="54">
        <f>'FScore(Y)'!F56</f>
        <v>0.18075765245189199</v>
      </c>
      <c r="E46" s="1">
        <f t="shared" si="1"/>
        <v>0</v>
      </c>
      <c r="F46" s="55">
        <f>'X1'!F46</f>
        <v>-0.18831787180744997</v>
      </c>
      <c r="G46" s="20">
        <f>'X2'!F46</f>
        <v>0.33333333333333331</v>
      </c>
      <c r="H46" s="1">
        <f>'X3'!E46</f>
        <v>1</v>
      </c>
      <c r="I46" s="1">
        <f>'X4 dan X5'!D46</f>
        <v>0</v>
      </c>
      <c r="J46" s="1">
        <f>'X4 dan X5'!E46</f>
        <v>1</v>
      </c>
    </row>
    <row r="47" spans="1:10" x14ac:dyDescent="0.35">
      <c r="A47" s="1">
        <v>45</v>
      </c>
      <c r="B47" s="71" t="s">
        <v>14</v>
      </c>
      <c r="C47" s="1">
        <v>2018</v>
      </c>
      <c r="D47" s="54">
        <f>'FScore(Y)'!F58</f>
        <v>-0.19688577179213587</v>
      </c>
      <c r="E47" s="1">
        <f t="shared" si="1"/>
        <v>0</v>
      </c>
      <c r="F47" s="55">
        <f>'X1'!F47</f>
        <v>4.6719106799968234E-2</v>
      </c>
      <c r="G47" s="20">
        <f>'X2'!F47</f>
        <v>0.66666666666666663</v>
      </c>
      <c r="H47" s="1">
        <f>'X3'!E47</f>
        <v>0</v>
      </c>
      <c r="I47" s="1">
        <f>'X4 dan X5'!D47</f>
        <v>1</v>
      </c>
      <c r="J47" s="1">
        <f>'X4 dan X5'!E47</f>
        <v>1</v>
      </c>
    </row>
    <row r="48" spans="1:10" x14ac:dyDescent="0.35">
      <c r="A48" s="1">
        <v>46</v>
      </c>
      <c r="B48" s="71"/>
      <c r="C48" s="1">
        <v>2019</v>
      </c>
      <c r="D48" s="54">
        <f>'FScore(Y)'!F59</f>
        <v>-0.17730185936597023</v>
      </c>
      <c r="E48" s="1">
        <f t="shared" si="1"/>
        <v>0</v>
      </c>
      <c r="F48" s="55">
        <f>'X1'!F48</f>
        <v>9.4173569985051102E-3</v>
      </c>
      <c r="G48" s="20">
        <f>'X2'!F48</f>
        <v>0.66666666666666663</v>
      </c>
      <c r="H48" s="1">
        <f>'X3'!E48</f>
        <v>0</v>
      </c>
      <c r="I48" s="1">
        <f>'X4 dan X5'!D48</f>
        <v>1</v>
      </c>
      <c r="J48" s="1">
        <f>'X4 dan X5'!E48</f>
        <v>0</v>
      </c>
    </row>
    <row r="49" spans="1:10" x14ac:dyDescent="0.35">
      <c r="A49" s="1">
        <v>47</v>
      </c>
      <c r="B49" s="71"/>
      <c r="C49" s="1">
        <v>2020</v>
      </c>
      <c r="D49" s="54">
        <f>'FScore(Y)'!F60</f>
        <v>0.17028232945247054</v>
      </c>
      <c r="E49" s="1">
        <f t="shared" si="1"/>
        <v>0</v>
      </c>
      <c r="F49" s="55">
        <f>'X1'!F49</f>
        <v>-0.1390526507868963</v>
      </c>
      <c r="G49" s="20">
        <f>'X2'!F49</f>
        <v>0.66666666666666663</v>
      </c>
      <c r="H49" s="1">
        <f>'X3'!E49</f>
        <v>0</v>
      </c>
      <c r="I49" s="1">
        <f>'X4 dan X5'!D49</f>
        <v>0</v>
      </c>
      <c r="J49" s="1">
        <f>'X4 dan X5'!E49</f>
        <v>0</v>
      </c>
    </row>
    <row r="50" spans="1:10" x14ac:dyDescent="0.35">
      <c r="A50" s="1">
        <v>48</v>
      </c>
      <c r="B50" s="71"/>
      <c r="C50" s="1">
        <v>2021</v>
      </c>
      <c r="D50" s="54">
        <f>'FScore(Y)'!F61</f>
        <v>0.36225582757375091</v>
      </c>
      <c r="E50" s="1">
        <f t="shared" si="1"/>
        <v>0</v>
      </c>
      <c r="F50" s="55">
        <f>'X1'!F50</f>
        <v>-4.8596339779269956E-2</v>
      </c>
      <c r="G50" s="20">
        <f>'X2'!F50</f>
        <v>0.66666666666666663</v>
      </c>
      <c r="H50" s="1">
        <f>'X3'!E50</f>
        <v>1</v>
      </c>
      <c r="I50" s="1">
        <f>'X4 dan X5'!D50</f>
        <v>0</v>
      </c>
      <c r="J50" s="1">
        <f>'X4 dan X5'!E50</f>
        <v>0</v>
      </c>
    </row>
    <row r="51" spans="1:10" x14ac:dyDescent="0.35">
      <c r="A51" s="1">
        <v>49</v>
      </c>
      <c r="B51" s="71" t="s">
        <v>15</v>
      </c>
      <c r="C51" s="1">
        <v>2018</v>
      </c>
      <c r="D51" s="54">
        <f>'FScore(Y)'!F63</f>
        <v>0.35474075124416754</v>
      </c>
      <c r="E51" s="1">
        <f t="shared" si="1"/>
        <v>0</v>
      </c>
      <c r="F51" s="55">
        <f>'X1'!F51</f>
        <v>0.1225811855181395</v>
      </c>
      <c r="G51" s="20">
        <f>'X2'!F51</f>
        <v>0.5</v>
      </c>
      <c r="H51" s="1">
        <f>'X3'!E51</f>
        <v>0</v>
      </c>
      <c r="I51" s="1">
        <f>'X4 dan X5'!D51</f>
        <v>0</v>
      </c>
      <c r="J51" s="1">
        <f>'X4 dan X5'!E51</f>
        <v>0</v>
      </c>
    </row>
    <row r="52" spans="1:10" x14ac:dyDescent="0.35">
      <c r="A52" s="1">
        <v>50</v>
      </c>
      <c r="B52" s="71"/>
      <c r="C52" s="1">
        <v>2019</v>
      </c>
      <c r="D52" s="54">
        <f>'FScore(Y)'!F64</f>
        <v>7.4513388019390892E-2</v>
      </c>
      <c r="E52" s="1">
        <f t="shared" si="1"/>
        <v>0</v>
      </c>
      <c r="F52" s="55">
        <f>'X1'!F52</f>
        <v>9.1342290985658561E-2</v>
      </c>
      <c r="G52" s="20">
        <f>'X2'!F52</f>
        <v>0.5</v>
      </c>
      <c r="H52" s="1">
        <f>'X3'!E52</f>
        <v>1</v>
      </c>
      <c r="I52" s="1">
        <f>'X4 dan X5'!D52</f>
        <v>0</v>
      </c>
      <c r="J52" s="1">
        <f>'X4 dan X5'!E52</f>
        <v>0</v>
      </c>
    </row>
    <row r="53" spans="1:10" x14ac:dyDescent="0.35">
      <c r="A53" s="1">
        <v>51</v>
      </c>
      <c r="B53" s="71"/>
      <c r="C53" s="1">
        <v>2020</v>
      </c>
      <c r="D53" s="54">
        <f>'FScore(Y)'!F65</f>
        <v>-9.4826326553697216E-4</v>
      </c>
      <c r="E53" s="1">
        <f t="shared" si="1"/>
        <v>0</v>
      </c>
      <c r="F53" s="55">
        <f>'X1'!F53</f>
        <v>-9.903231069755361E-2</v>
      </c>
      <c r="G53" s="20">
        <f>'X2'!F53</f>
        <v>0.5</v>
      </c>
      <c r="H53" s="1">
        <f>'X3'!E53</f>
        <v>0</v>
      </c>
      <c r="I53" s="1">
        <f>'X4 dan X5'!D53</f>
        <v>0</v>
      </c>
      <c r="J53" s="1">
        <f>'X4 dan X5'!E53</f>
        <v>0</v>
      </c>
    </row>
    <row r="54" spans="1:10" x14ac:dyDescent="0.35">
      <c r="A54" s="1">
        <v>52</v>
      </c>
      <c r="B54" s="71"/>
      <c r="C54" s="1">
        <v>2021</v>
      </c>
      <c r="D54" s="54">
        <f>'FScore(Y)'!F66</f>
        <v>6.6581626433572932E-2</v>
      </c>
      <c r="E54" s="1">
        <f t="shared" si="1"/>
        <v>0</v>
      </c>
      <c r="F54" s="55">
        <f>'X1'!F54</f>
        <v>-0.34747583337594584</v>
      </c>
      <c r="G54" s="20">
        <f>'X2'!F54</f>
        <v>0.33333333333333331</v>
      </c>
      <c r="H54" s="1">
        <f>'X3'!E54</f>
        <v>0</v>
      </c>
      <c r="I54" s="1">
        <f>'X4 dan X5'!D54</f>
        <v>1</v>
      </c>
      <c r="J54" s="1">
        <f>'X4 dan X5'!E54</f>
        <v>1</v>
      </c>
    </row>
    <row r="55" spans="1:10" x14ac:dyDescent="0.35">
      <c r="A55" s="1">
        <v>53</v>
      </c>
      <c r="B55" s="71" t="s">
        <v>16</v>
      </c>
      <c r="C55" s="1">
        <v>2018</v>
      </c>
      <c r="D55" s="54">
        <f>'FScore(Y)'!F68</f>
        <v>1.1610652956433398</v>
      </c>
      <c r="E55" s="1">
        <f t="shared" si="1"/>
        <v>1</v>
      </c>
      <c r="F55" s="55">
        <f>'X1'!F55</f>
        <v>-0.4128538653375588</v>
      </c>
      <c r="G55" s="20">
        <f>'X2'!F55</f>
        <v>0.33333333333333331</v>
      </c>
      <c r="H55" s="1">
        <f>'X3'!E55</f>
        <v>0</v>
      </c>
      <c r="I55" s="1">
        <f>'X4 dan X5'!D55</f>
        <v>1</v>
      </c>
      <c r="J55" s="1">
        <f>'X4 dan X5'!E55</f>
        <v>0</v>
      </c>
    </row>
    <row r="56" spans="1:10" x14ac:dyDescent="0.35">
      <c r="A56" s="1">
        <v>54</v>
      </c>
      <c r="B56" s="71"/>
      <c r="C56" s="1">
        <v>2019</v>
      </c>
      <c r="D56" s="54">
        <f>'FScore(Y)'!F69</f>
        <v>2.9289426660973805</v>
      </c>
      <c r="E56" s="1">
        <f t="shared" si="1"/>
        <v>1</v>
      </c>
      <c r="F56" s="55">
        <f>'X1'!F56</f>
        <v>-0.4730847714025726</v>
      </c>
      <c r="G56" s="20">
        <f>'X2'!F56</f>
        <v>0.33333333333333331</v>
      </c>
      <c r="H56" s="1">
        <f>'X3'!E56</f>
        <v>0</v>
      </c>
      <c r="I56" s="1">
        <f>'X4 dan X5'!D56</f>
        <v>1</v>
      </c>
      <c r="J56" s="1">
        <f>'X4 dan X5'!E56</f>
        <v>1</v>
      </c>
    </row>
    <row r="57" spans="1:10" x14ac:dyDescent="0.35">
      <c r="A57" s="1">
        <v>55</v>
      </c>
      <c r="B57" s="71"/>
      <c r="C57" s="1">
        <v>2020</v>
      </c>
      <c r="D57" s="54">
        <f>'FScore(Y)'!F70</f>
        <v>1.4844013693507634</v>
      </c>
      <c r="E57" s="1">
        <f t="shared" si="1"/>
        <v>1</v>
      </c>
      <c r="F57" s="55">
        <f>'X1'!F57</f>
        <v>-0.35179094834453911</v>
      </c>
      <c r="G57" s="20">
        <f>'X2'!F57</f>
        <v>0.4</v>
      </c>
      <c r="H57" s="1">
        <f>'X3'!E57</f>
        <v>1</v>
      </c>
      <c r="I57" s="1">
        <f>'X4 dan X5'!D57</f>
        <v>1</v>
      </c>
      <c r="J57" s="1">
        <f>'X4 dan X5'!E57</f>
        <v>1</v>
      </c>
    </row>
    <row r="58" spans="1:10" x14ac:dyDescent="0.35">
      <c r="A58" s="1">
        <v>56</v>
      </c>
      <c r="B58" s="71"/>
      <c r="C58" s="1">
        <v>2021</v>
      </c>
      <c r="D58" s="54">
        <f>'FScore(Y)'!F71</f>
        <v>0.87358013613583485</v>
      </c>
      <c r="E58" s="1">
        <f t="shared" si="1"/>
        <v>0</v>
      </c>
      <c r="F58" s="55">
        <f>'X1'!F58</f>
        <v>-0.15753487051959184</v>
      </c>
      <c r="G58" s="20">
        <f>'X2'!F58</f>
        <v>0.4</v>
      </c>
      <c r="H58" s="1">
        <f>'X3'!E58</f>
        <v>0</v>
      </c>
      <c r="I58" s="1">
        <f>'X4 dan X5'!D58</f>
        <v>1</v>
      </c>
      <c r="J58" s="1">
        <f>'X4 dan X5'!E58</f>
        <v>1</v>
      </c>
    </row>
    <row r="59" spans="1:10" x14ac:dyDescent="0.35">
      <c r="A59" s="1">
        <v>57</v>
      </c>
      <c r="B59" s="71" t="s">
        <v>17</v>
      </c>
      <c r="C59" s="1">
        <v>2018</v>
      </c>
      <c r="D59" s="54">
        <f>'FScore(Y)'!F73</f>
        <v>1.0015035432975619E-2</v>
      </c>
      <c r="E59" s="1">
        <f t="shared" si="1"/>
        <v>0</v>
      </c>
      <c r="F59" s="55">
        <f>'X1'!F59</f>
        <v>0.16357254349655773</v>
      </c>
      <c r="G59" s="20">
        <f>'X2'!F59</f>
        <v>0.5</v>
      </c>
      <c r="H59" s="1">
        <f>'X3'!E59</f>
        <v>0</v>
      </c>
      <c r="I59" s="1">
        <f>'X4 dan X5'!D59</f>
        <v>1</v>
      </c>
      <c r="J59" s="1">
        <f>'X4 dan X5'!E59</f>
        <v>0</v>
      </c>
    </row>
    <row r="60" spans="1:10" x14ac:dyDescent="0.35">
      <c r="A60" s="1">
        <v>58</v>
      </c>
      <c r="B60" s="71"/>
      <c r="C60" s="1">
        <v>2019</v>
      </c>
      <c r="D60" s="54">
        <f>'FScore(Y)'!F74</f>
        <v>-8.0471751298517954E-2</v>
      </c>
      <c r="E60" s="1">
        <f t="shared" si="1"/>
        <v>0</v>
      </c>
      <c r="F60" s="55">
        <f>'X1'!F60</f>
        <v>7.401170398809187E-2</v>
      </c>
      <c r="G60" s="20">
        <f>'X2'!F60</f>
        <v>0.66666666666666663</v>
      </c>
      <c r="H60" s="1">
        <f>'X3'!E60</f>
        <v>0</v>
      </c>
      <c r="I60" s="1">
        <f>'X4 dan X5'!D60</f>
        <v>1</v>
      </c>
      <c r="J60" s="1">
        <f>'X4 dan X5'!E60</f>
        <v>0</v>
      </c>
    </row>
    <row r="61" spans="1:10" x14ac:dyDescent="0.35">
      <c r="A61" s="1">
        <v>59</v>
      </c>
      <c r="B61" s="71"/>
      <c r="C61" s="1">
        <v>2020</v>
      </c>
      <c r="D61" s="54">
        <f>'FScore(Y)'!F75</f>
        <v>0.71778540610905361</v>
      </c>
      <c r="E61" s="1">
        <f t="shared" si="1"/>
        <v>0</v>
      </c>
      <c r="F61" s="55">
        <f>'X1'!F61</f>
        <v>-9.5366357812571283E-3</v>
      </c>
      <c r="G61" s="20">
        <f>'X2'!F61</f>
        <v>0.5</v>
      </c>
      <c r="H61" s="1">
        <f>'X3'!E61</f>
        <v>0</v>
      </c>
      <c r="I61" s="1">
        <f>'X4 dan X5'!D61</f>
        <v>1</v>
      </c>
      <c r="J61" s="1">
        <f>'X4 dan X5'!E61</f>
        <v>1</v>
      </c>
    </row>
    <row r="62" spans="1:10" x14ac:dyDescent="0.35">
      <c r="A62" s="1">
        <v>60</v>
      </c>
      <c r="B62" s="71"/>
      <c r="C62" s="1">
        <v>2021</v>
      </c>
      <c r="D62" s="54">
        <f>'FScore(Y)'!F76</f>
        <v>-0.45866197410777815</v>
      </c>
      <c r="E62" s="1">
        <f t="shared" si="1"/>
        <v>0</v>
      </c>
      <c r="F62" s="55">
        <f>'X1'!F62</f>
        <v>0.28736194919854807</v>
      </c>
      <c r="G62" s="20">
        <f>'X2'!F62</f>
        <v>0.33333333333333331</v>
      </c>
      <c r="H62" s="1">
        <f>'X3'!E62</f>
        <v>0</v>
      </c>
      <c r="I62" s="1">
        <f>'X4 dan X5'!D62</f>
        <v>1</v>
      </c>
      <c r="J62" s="1">
        <f>'X4 dan X5'!E62</f>
        <v>1</v>
      </c>
    </row>
    <row r="63" spans="1:10" x14ac:dyDescent="0.35">
      <c r="A63" s="1">
        <v>61</v>
      </c>
      <c r="B63" s="71" t="s">
        <v>18</v>
      </c>
      <c r="C63" s="1">
        <v>2018</v>
      </c>
      <c r="D63" s="54">
        <f>'FScore(Y)'!F78</f>
        <v>1.6583147498451205</v>
      </c>
      <c r="E63" s="1">
        <f t="shared" si="1"/>
        <v>1</v>
      </c>
      <c r="F63" s="55">
        <f>'X1'!F63</f>
        <v>6.9739204799251983E-2</v>
      </c>
      <c r="G63" s="20">
        <f>'X2'!F63</f>
        <v>0.5</v>
      </c>
      <c r="H63" s="1">
        <f>'X3'!E63</f>
        <v>0</v>
      </c>
      <c r="I63" s="1">
        <f>'X4 dan X5'!D63</f>
        <v>1</v>
      </c>
      <c r="J63" s="1">
        <f>'X4 dan X5'!E63</f>
        <v>1</v>
      </c>
    </row>
    <row r="64" spans="1:10" x14ac:dyDescent="0.35">
      <c r="A64" s="1">
        <v>62</v>
      </c>
      <c r="B64" s="71"/>
      <c r="C64" s="1">
        <v>2019</v>
      </c>
      <c r="D64" s="54">
        <f>'FScore(Y)'!F79</f>
        <v>1.2308377170203066</v>
      </c>
      <c r="E64" s="1">
        <f t="shared" si="1"/>
        <v>1</v>
      </c>
      <c r="F64" s="55">
        <f>'X1'!F64</f>
        <v>-0.22995056848474565</v>
      </c>
      <c r="G64" s="20">
        <f>'X2'!F64</f>
        <v>0.5</v>
      </c>
      <c r="H64" s="1">
        <f>'X3'!E64</f>
        <v>0</v>
      </c>
      <c r="I64" s="1">
        <f>'X4 dan X5'!D64</f>
        <v>0</v>
      </c>
      <c r="J64" s="1">
        <f>'X4 dan X5'!E64</f>
        <v>0</v>
      </c>
    </row>
    <row r="65" spans="1:10" x14ac:dyDescent="0.35">
      <c r="A65" s="1">
        <v>63</v>
      </c>
      <c r="B65" s="71"/>
      <c r="C65" s="1">
        <v>2020</v>
      </c>
      <c r="D65" s="54">
        <f>'FScore(Y)'!F80</f>
        <v>0.69800305290110254</v>
      </c>
      <c r="E65" s="1">
        <f t="shared" si="1"/>
        <v>0</v>
      </c>
      <c r="F65" s="55">
        <f>'X1'!F65</f>
        <v>-0.20025442854202205</v>
      </c>
      <c r="G65" s="20">
        <f>'X2'!F65</f>
        <v>0.66666666666666663</v>
      </c>
      <c r="H65" s="1">
        <f>'X3'!E65</f>
        <v>0</v>
      </c>
      <c r="I65" s="1">
        <f>'X4 dan X5'!D65</f>
        <v>1</v>
      </c>
      <c r="J65" s="1">
        <f>'X4 dan X5'!E65</f>
        <v>1</v>
      </c>
    </row>
    <row r="66" spans="1:10" x14ac:dyDescent="0.35">
      <c r="A66" s="1">
        <v>64</v>
      </c>
      <c r="B66" s="71"/>
      <c r="C66" s="1">
        <v>2021</v>
      </c>
      <c r="D66" s="54">
        <f>'FScore(Y)'!F81</f>
        <v>1.2328072138242476</v>
      </c>
      <c r="E66" s="1">
        <f t="shared" si="1"/>
        <v>1</v>
      </c>
      <c r="F66" s="55">
        <f>'X1'!F66</f>
        <v>-0.20328620203480161</v>
      </c>
      <c r="G66" s="20">
        <f>'X2'!F66</f>
        <v>0.66666666666666663</v>
      </c>
      <c r="H66" s="1">
        <f>'X3'!E66</f>
        <v>0</v>
      </c>
      <c r="I66" s="1">
        <f>'X4 dan X5'!D66</f>
        <v>0</v>
      </c>
      <c r="J66" s="1">
        <f>'X4 dan X5'!E66</f>
        <v>1</v>
      </c>
    </row>
    <row r="67" spans="1:10" x14ac:dyDescent="0.35">
      <c r="A67" s="1">
        <v>65</v>
      </c>
      <c r="B67" s="71" t="s">
        <v>19</v>
      </c>
      <c r="C67" s="1">
        <v>2018</v>
      </c>
      <c r="D67" s="54">
        <f>'FScore(Y)'!F83</f>
        <v>-0.31487377134087557</v>
      </c>
      <c r="E67" s="1">
        <f t="shared" ref="E67:E98" si="2">IF(D67&lt;1,0,1)</f>
        <v>0</v>
      </c>
      <c r="F67" s="55">
        <f>'X1'!F67</f>
        <v>6.7295661871036278E-2</v>
      </c>
      <c r="G67" s="20">
        <f>'X2'!F67</f>
        <v>0.33333333333333331</v>
      </c>
      <c r="H67" s="1">
        <f>'X3'!E67</f>
        <v>0</v>
      </c>
      <c r="I67" s="1">
        <f>'X4 dan X5'!D67</f>
        <v>0</v>
      </c>
      <c r="J67" s="1">
        <f>'X4 dan X5'!E67</f>
        <v>1</v>
      </c>
    </row>
    <row r="68" spans="1:10" x14ac:dyDescent="0.35">
      <c r="A68" s="1">
        <v>66</v>
      </c>
      <c r="B68" s="71"/>
      <c r="C68" s="1">
        <v>2019</v>
      </c>
      <c r="D68" s="54">
        <f>'FScore(Y)'!F84</f>
        <v>-0.11701845275008314</v>
      </c>
      <c r="E68" s="1">
        <f t="shared" si="2"/>
        <v>0</v>
      </c>
      <c r="F68" s="55">
        <f>'X1'!F68</f>
        <v>7.2087241142226102E-2</v>
      </c>
      <c r="G68" s="20">
        <f>'X2'!F68</f>
        <v>0.33333333333333331</v>
      </c>
      <c r="H68" s="1">
        <f>'X3'!E68</f>
        <v>0</v>
      </c>
      <c r="I68" s="1">
        <f>'X4 dan X5'!D68</f>
        <v>0</v>
      </c>
      <c r="J68" s="1">
        <f>'X4 dan X5'!E68</f>
        <v>1</v>
      </c>
    </row>
    <row r="69" spans="1:10" x14ac:dyDescent="0.35">
      <c r="A69" s="1">
        <v>67</v>
      </c>
      <c r="B69" s="71"/>
      <c r="C69" s="1">
        <v>2020</v>
      </c>
      <c r="D69" s="54">
        <f>'FScore(Y)'!F85</f>
        <v>-0.74326404331865059</v>
      </c>
      <c r="E69" s="1">
        <f t="shared" si="2"/>
        <v>0</v>
      </c>
      <c r="F69" s="55">
        <f>'X1'!F69</f>
        <v>6.9078158269698833E-2</v>
      </c>
      <c r="G69" s="20">
        <f>'X2'!F69</f>
        <v>0.33333333333333331</v>
      </c>
      <c r="H69" s="1">
        <f>'X3'!E69</f>
        <v>0</v>
      </c>
      <c r="I69" s="1">
        <f>'X4 dan X5'!D69</f>
        <v>0</v>
      </c>
      <c r="J69" s="1">
        <f>'X4 dan X5'!E69</f>
        <v>0</v>
      </c>
    </row>
    <row r="70" spans="1:10" x14ac:dyDescent="0.35">
      <c r="A70" s="1">
        <v>68</v>
      </c>
      <c r="B70" s="71"/>
      <c r="C70" s="1">
        <v>2021</v>
      </c>
      <c r="D70" s="54">
        <f>'FScore(Y)'!F86</f>
        <v>-0.14151805583431035</v>
      </c>
      <c r="E70" s="1">
        <f t="shared" si="2"/>
        <v>0</v>
      </c>
      <c r="F70" s="55">
        <f>'X1'!F70</f>
        <v>2.5040670321382855E-2</v>
      </c>
      <c r="G70" s="20">
        <f>'X2'!F70</f>
        <v>0.25</v>
      </c>
      <c r="H70" s="1">
        <f>'X3'!E70</f>
        <v>0</v>
      </c>
      <c r="I70" s="1">
        <f>'X4 dan X5'!D70</f>
        <v>1</v>
      </c>
      <c r="J70" s="1">
        <f>'X4 dan X5'!E70</f>
        <v>0</v>
      </c>
    </row>
    <row r="71" spans="1:10" x14ac:dyDescent="0.35">
      <c r="A71" s="1">
        <v>69</v>
      </c>
      <c r="B71" s="71" t="s">
        <v>20</v>
      </c>
      <c r="C71" s="1">
        <v>2018</v>
      </c>
      <c r="D71" s="54">
        <f>'FScore(Y)'!F88</f>
        <v>0.12668093552382526</v>
      </c>
      <c r="E71" s="1">
        <f t="shared" si="2"/>
        <v>0</v>
      </c>
      <c r="F71" s="55">
        <f>'X1'!F71</f>
        <v>9.3965208651511464E-2</v>
      </c>
      <c r="G71" s="20">
        <f>'X2'!F71</f>
        <v>0.75</v>
      </c>
      <c r="H71" s="1">
        <f>'X3'!E71</f>
        <v>0</v>
      </c>
      <c r="I71" s="1">
        <f>'X4 dan X5'!D71</f>
        <v>1</v>
      </c>
      <c r="J71" s="1">
        <f>'X4 dan X5'!E71</f>
        <v>1</v>
      </c>
    </row>
    <row r="72" spans="1:10" x14ac:dyDescent="0.35">
      <c r="A72" s="1">
        <v>70</v>
      </c>
      <c r="B72" s="71"/>
      <c r="C72" s="1">
        <v>2019</v>
      </c>
      <c r="D72" s="54">
        <f>'FScore(Y)'!F89</f>
        <v>-0.30832639451758104</v>
      </c>
      <c r="E72" s="1">
        <f t="shared" si="2"/>
        <v>0</v>
      </c>
      <c r="F72" s="55">
        <f>'X1'!F72</f>
        <v>0.24665289965038448</v>
      </c>
      <c r="G72" s="20">
        <f>'X2'!F72</f>
        <v>0.5</v>
      </c>
      <c r="H72" s="1">
        <f>'X3'!E72</f>
        <v>0</v>
      </c>
      <c r="I72" s="1">
        <f>'X4 dan X5'!D72</f>
        <v>0</v>
      </c>
      <c r="J72" s="1">
        <f>'X4 dan X5'!E72</f>
        <v>1</v>
      </c>
    </row>
    <row r="73" spans="1:10" x14ac:dyDescent="0.35">
      <c r="A73" s="1">
        <v>71</v>
      </c>
      <c r="B73" s="71"/>
      <c r="C73" s="1">
        <v>2020</v>
      </c>
      <c r="D73" s="54">
        <f>'FScore(Y)'!F90</f>
        <v>6.4195122700961144E-3</v>
      </c>
      <c r="E73" s="1">
        <f t="shared" si="2"/>
        <v>0</v>
      </c>
      <c r="F73" s="55">
        <f>'X1'!F73</f>
        <v>3.0143201341749189E-2</v>
      </c>
      <c r="G73" s="20">
        <f>'X2'!F73</f>
        <v>0.5</v>
      </c>
      <c r="H73" s="1">
        <f>'X3'!E73</f>
        <v>0</v>
      </c>
      <c r="I73" s="1">
        <f>'X4 dan X5'!D73</f>
        <v>1</v>
      </c>
      <c r="J73" s="1">
        <f>'X4 dan X5'!E73</f>
        <v>0</v>
      </c>
    </row>
    <row r="74" spans="1:10" x14ac:dyDescent="0.35">
      <c r="A74" s="1">
        <v>72</v>
      </c>
      <c r="B74" s="71"/>
      <c r="C74" s="1">
        <v>2021</v>
      </c>
      <c r="D74" s="54">
        <f>'FScore(Y)'!F91</f>
        <v>7.562614851495221E-2</v>
      </c>
      <c r="E74" s="1">
        <f t="shared" si="2"/>
        <v>0</v>
      </c>
      <c r="F74" s="55">
        <f>'X1'!F74</f>
        <v>0.15103908165722346</v>
      </c>
      <c r="G74" s="20">
        <f>'X2'!F74</f>
        <v>0.66666666666666663</v>
      </c>
      <c r="H74" s="1">
        <f>'X3'!E74</f>
        <v>1</v>
      </c>
      <c r="I74" s="1">
        <f>'X4 dan X5'!D74</f>
        <v>1</v>
      </c>
      <c r="J74" s="1">
        <f>'X4 dan X5'!E74</f>
        <v>1</v>
      </c>
    </row>
    <row r="75" spans="1:10" x14ac:dyDescent="0.35">
      <c r="A75" s="1">
        <v>73</v>
      </c>
      <c r="B75" s="71" t="s">
        <v>21</v>
      </c>
      <c r="C75" s="1">
        <v>2018</v>
      </c>
      <c r="D75" s="54">
        <f>'FScore(Y)'!F93</f>
        <v>-6.330451181784913E-2</v>
      </c>
      <c r="E75" s="1">
        <f t="shared" si="2"/>
        <v>0</v>
      </c>
      <c r="F75" s="55">
        <f>'X1'!F75</f>
        <v>0.12994814674427368</v>
      </c>
      <c r="G75" s="20">
        <f>'X2'!F75</f>
        <v>0.4</v>
      </c>
      <c r="H75" s="1">
        <f>'X3'!E75</f>
        <v>0</v>
      </c>
      <c r="I75" s="1">
        <f>'X4 dan X5'!D75</f>
        <v>0</v>
      </c>
      <c r="J75" s="1">
        <f>'X4 dan X5'!E75</f>
        <v>1</v>
      </c>
    </row>
    <row r="76" spans="1:10" x14ac:dyDescent="0.35">
      <c r="A76" s="1">
        <v>74</v>
      </c>
      <c r="B76" s="71"/>
      <c r="C76" s="1">
        <v>2019</v>
      </c>
      <c r="D76" s="54">
        <f>'FScore(Y)'!F94</f>
        <v>1.1635994234355629E-2</v>
      </c>
      <c r="E76" s="1">
        <f t="shared" si="2"/>
        <v>0</v>
      </c>
      <c r="F76" s="55">
        <f>'X1'!F76</f>
        <v>-1.0317488519244189E-2</v>
      </c>
      <c r="G76" s="20">
        <f>'X2'!F76</f>
        <v>0.4</v>
      </c>
      <c r="H76" s="1">
        <f>'X3'!E76</f>
        <v>0</v>
      </c>
      <c r="I76" s="1">
        <f>'X4 dan X5'!D76</f>
        <v>0</v>
      </c>
      <c r="J76" s="1">
        <f>'X4 dan X5'!E76</f>
        <v>1</v>
      </c>
    </row>
    <row r="77" spans="1:10" x14ac:dyDescent="0.35">
      <c r="A77" s="1">
        <v>75</v>
      </c>
      <c r="B77" s="71"/>
      <c r="C77" s="1">
        <v>2020</v>
      </c>
      <c r="D77" s="54">
        <f>'FScore(Y)'!F95</f>
        <v>-8.5675030902916782E-2</v>
      </c>
      <c r="E77" s="1">
        <f t="shared" si="2"/>
        <v>0</v>
      </c>
      <c r="F77" s="55">
        <f>'X1'!F77</f>
        <v>8.8646250202396776E-2</v>
      </c>
      <c r="G77" s="20">
        <f>'X2'!F77</f>
        <v>0.4</v>
      </c>
      <c r="H77" s="1">
        <f>'X3'!E77</f>
        <v>0</v>
      </c>
      <c r="I77" s="1">
        <f>'X4 dan X5'!D77</f>
        <v>1</v>
      </c>
      <c r="J77" s="1">
        <f>'X4 dan X5'!E77</f>
        <v>1</v>
      </c>
    </row>
    <row r="78" spans="1:10" x14ac:dyDescent="0.35">
      <c r="A78" s="1">
        <v>76</v>
      </c>
      <c r="B78" s="71"/>
      <c r="C78" s="1">
        <v>2021</v>
      </c>
      <c r="D78" s="54">
        <f>'FScore(Y)'!F96</f>
        <v>-8.6446482139570513E-3</v>
      </c>
      <c r="E78" s="1">
        <f t="shared" si="2"/>
        <v>0</v>
      </c>
      <c r="F78" s="55">
        <f>'X1'!F78</f>
        <v>8.3478581640130264E-2</v>
      </c>
      <c r="G78" s="20">
        <f>'X2'!F78</f>
        <v>0.4</v>
      </c>
      <c r="H78" s="1">
        <f>'X3'!E78</f>
        <v>0</v>
      </c>
      <c r="I78" s="1">
        <f>'X4 dan X5'!D78</f>
        <v>1</v>
      </c>
      <c r="J78" s="1">
        <f>'X4 dan X5'!E78</f>
        <v>1</v>
      </c>
    </row>
    <row r="79" spans="1:10" x14ac:dyDescent="0.35">
      <c r="A79" s="1">
        <v>77</v>
      </c>
      <c r="B79" s="71" t="s">
        <v>22</v>
      </c>
      <c r="C79" s="1">
        <v>2018</v>
      </c>
      <c r="D79" s="54">
        <f>'FScore(Y)'!F98</f>
        <v>2.0225241554795131E-2</v>
      </c>
      <c r="E79" s="1">
        <f t="shared" si="2"/>
        <v>0</v>
      </c>
      <c r="F79" s="55">
        <f>'X1'!F79</f>
        <v>0.13963496284147192</v>
      </c>
      <c r="G79" s="20">
        <f>'X2'!F79</f>
        <v>0.4</v>
      </c>
      <c r="H79" s="1">
        <f>'X3'!E79</f>
        <v>0</v>
      </c>
      <c r="I79" s="1">
        <f>'X4 dan X5'!D79</f>
        <v>0</v>
      </c>
      <c r="J79" s="1">
        <f>'X4 dan X5'!E79</f>
        <v>1</v>
      </c>
    </row>
    <row r="80" spans="1:10" x14ac:dyDescent="0.35">
      <c r="A80" s="1">
        <v>78</v>
      </c>
      <c r="B80" s="71"/>
      <c r="C80" s="1">
        <v>2019</v>
      </c>
      <c r="D80" s="54">
        <f>'FScore(Y)'!F99</f>
        <v>0.15663912287405346</v>
      </c>
      <c r="E80" s="1">
        <f t="shared" si="2"/>
        <v>0</v>
      </c>
      <c r="F80" s="55">
        <f>'X1'!F80</f>
        <v>-6.3001887212034202E-2</v>
      </c>
      <c r="G80" s="20">
        <f>'X2'!F80</f>
        <v>0.4</v>
      </c>
      <c r="H80" s="1">
        <f>'X3'!E80</f>
        <v>0</v>
      </c>
      <c r="I80" s="1">
        <f>'X4 dan X5'!D80</f>
        <v>1</v>
      </c>
      <c r="J80" s="1">
        <f>'X4 dan X5'!E80</f>
        <v>1</v>
      </c>
    </row>
    <row r="81" spans="1:10" x14ac:dyDescent="0.35">
      <c r="A81" s="1">
        <v>79</v>
      </c>
      <c r="B81" s="71"/>
      <c r="C81" s="1">
        <v>2020</v>
      </c>
      <c r="D81" s="54">
        <f>'FScore(Y)'!F100</f>
        <v>0.17418821424331787</v>
      </c>
      <c r="E81" s="1">
        <f t="shared" si="2"/>
        <v>0</v>
      </c>
      <c r="F81" s="55">
        <f>'X1'!F81</f>
        <v>-0.3611904966286511</v>
      </c>
      <c r="G81" s="20">
        <f>'X2'!F81</f>
        <v>0.4</v>
      </c>
      <c r="H81" s="1">
        <f>'X3'!E81</f>
        <v>0</v>
      </c>
      <c r="I81" s="1">
        <f>'X4 dan X5'!D81</f>
        <v>1</v>
      </c>
      <c r="J81" s="1">
        <f>'X4 dan X5'!E81</f>
        <v>1</v>
      </c>
    </row>
    <row r="82" spans="1:10" x14ac:dyDescent="0.35">
      <c r="A82" s="1">
        <v>80</v>
      </c>
      <c r="B82" s="71"/>
      <c r="C82" s="1">
        <v>2021</v>
      </c>
      <c r="D82" s="54">
        <f>'FScore(Y)'!F101</f>
        <v>-0.28565132519668723</v>
      </c>
      <c r="E82" s="1">
        <f t="shared" si="2"/>
        <v>0</v>
      </c>
      <c r="F82" s="55">
        <f>'X1'!F82</f>
        <v>-2.5099447319322701E-2</v>
      </c>
      <c r="G82" s="20">
        <f>'X2'!F82</f>
        <v>0.4</v>
      </c>
      <c r="H82" s="1">
        <f>'X3'!E82</f>
        <v>0</v>
      </c>
      <c r="I82" s="1">
        <f>'X4 dan X5'!D82</f>
        <v>1</v>
      </c>
      <c r="J82" s="1">
        <f>'X4 dan X5'!E82</f>
        <v>1</v>
      </c>
    </row>
    <row r="83" spans="1:10" x14ac:dyDescent="0.35">
      <c r="A83" s="1">
        <v>81</v>
      </c>
      <c r="B83" s="70" t="s">
        <v>78</v>
      </c>
      <c r="C83" s="25">
        <v>2018</v>
      </c>
      <c r="D83" s="54">
        <f>'FScore(Y)'!F103</f>
        <v>8.2662347051236207E-2</v>
      </c>
      <c r="E83" s="1">
        <f t="shared" si="2"/>
        <v>0</v>
      </c>
      <c r="F83" s="55">
        <f>'X1'!F83</f>
        <v>-1.4097093222124999E-2</v>
      </c>
      <c r="G83" s="20">
        <f>'X2'!F83</f>
        <v>0.5</v>
      </c>
      <c r="H83" s="1">
        <f>'X3'!E83</f>
        <v>0</v>
      </c>
      <c r="I83" s="1">
        <f>'X4 dan X5'!D83</f>
        <v>0</v>
      </c>
      <c r="J83" s="1">
        <f>'X4 dan X5'!E83</f>
        <v>0</v>
      </c>
    </row>
    <row r="84" spans="1:10" x14ac:dyDescent="0.35">
      <c r="A84" s="1">
        <v>82</v>
      </c>
      <c r="B84" s="70"/>
      <c r="C84" s="25">
        <v>2019</v>
      </c>
      <c r="D84" s="54">
        <f>'FScore(Y)'!F104</f>
        <v>-7.2975167134772576E-2</v>
      </c>
      <c r="E84" s="1">
        <f t="shared" si="2"/>
        <v>0</v>
      </c>
      <c r="F84" s="55">
        <f>'X1'!F84</f>
        <v>9.1049584836927724E-2</v>
      </c>
      <c r="G84" s="20">
        <f>'X2'!F84</f>
        <v>0.5</v>
      </c>
      <c r="H84" s="1">
        <f>'X3'!E84</f>
        <v>0</v>
      </c>
      <c r="I84" s="1">
        <f>'X4 dan X5'!D84</f>
        <v>0</v>
      </c>
      <c r="J84" s="1">
        <f>'X4 dan X5'!E84</f>
        <v>0</v>
      </c>
    </row>
    <row r="85" spans="1:10" x14ac:dyDescent="0.35">
      <c r="A85" s="1">
        <v>83</v>
      </c>
      <c r="B85" s="70"/>
      <c r="C85" s="25">
        <v>2020</v>
      </c>
      <c r="D85" s="54">
        <f>'FScore(Y)'!F105</f>
        <v>0.28223044323198576</v>
      </c>
      <c r="E85" s="1">
        <f t="shared" si="2"/>
        <v>0</v>
      </c>
      <c r="F85" s="55">
        <f>'X1'!F85</f>
        <v>-0.25747173202333801</v>
      </c>
      <c r="G85" s="20">
        <f>'X2'!F85</f>
        <v>0.5</v>
      </c>
      <c r="H85" s="1">
        <f>'X3'!E85</f>
        <v>0</v>
      </c>
      <c r="I85" s="1">
        <f>'X4 dan X5'!D85</f>
        <v>0</v>
      </c>
      <c r="J85" s="1">
        <f>'X4 dan X5'!E85</f>
        <v>0</v>
      </c>
    </row>
    <row r="86" spans="1:10" x14ac:dyDescent="0.35">
      <c r="A86" s="1">
        <v>84</v>
      </c>
      <c r="B86" s="70"/>
      <c r="C86" s="25">
        <v>2021</v>
      </c>
      <c r="D86" s="54">
        <f>'FScore(Y)'!F106</f>
        <v>2.4215967616775934E-2</v>
      </c>
      <c r="E86" s="1">
        <f t="shared" si="2"/>
        <v>0</v>
      </c>
      <c r="F86" s="55">
        <f>'X1'!F86</f>
        <v>-4.3187761876193408E-2</v>
      </c>
      <c r="G86" s="20">
        <f>'X2'!F86</f>
        <v>0.5</v>
      </c>
      <c r="H86" s="1">
        <f>'X3'!E86</f>
        <v>0</v>
      </c>
      <c r="I86" s="1">
        <f>'X4 dan X5'!D86</f>
        <v>0</v>
      </c>
      <c r="J86" s="1">
        <f>'X4 dan X5'!E86</f>
        <v>0</v>
      </c>
    </row>
    <row r="87" spans="1:10" x14ac:dyDescent="0.35">
      <c r="A87" s="1">
        <v>85</v>
      </c>
      <c r="B87" s="70" t="s">
        <v>79</v>
      </c>
      <c r="C87" s="25">
        <v>2018</v>
      </c>
      <c r="D87" s="54">
        <f>'FScore(Y)'!F108</f>
        <v>2.8679729661186357E-2</v>
      </c>
      <c r="E87" s="1">
        <f t="shared" si="2"/>
        <v>0</v>
      </c>
      <c r="F87" s="55">
        <f>'X1'!F87</f>
        <v>-0.10145407496457329</v>
      </c>
      <c r="G87" s="20">
        <f>'X2'!F87</f>
        <v>0.5</v>
      </c>
      <c r="H87" s="1">
        <f>'X3'!E87</f>
        <v>0</v>
      </c>
      <c r="I87" s="1">
        <f>'X4 dan X5'!D87</f>
        <v>1</v>
      </c>
      <c r="J87" s="1">
        <f>'X4 dan X5'!E87</f>
        <v>0</v>
      </c>
    </row>
    <row r="88" spans="1:10" x14ac:dyDescent="0.35">
      <c r="A88" s="1">
        <v>86</v>
      </c>
      <c r="B88" s="70"/>
      <c r="C88" s="25">
        <v>2019</v>
      </c>
      <c r="D88" s="54">
        <f>'FScore(Y)'!F109</f>
        <v>-0.266470152370818</v>
      </c>
      <c r="E88" s="1">
        <f t="shared" si="2"/>
        <v>0</v>
      </c>
      <c r="F88" s="55">
        <f>'X1'!F88</f>
        <v>4.8307564715847129E-2</v>
      </c>
      <c r="G88" s="20">
        <f>'X2'!F88</f>
        <v>0.375</v>
      </c>
      <c r="H88" s="1">
        <f>'X3'!E88</f>
        <v>0</v>
      </c>
      <c r="I88" s="1">
        <f>'X4 dan X5'!D88</f>
        <v>1</v>
      </c>
      <c r="J88" s="1">
        <f>'X4 dan X5'!E88</f>
        <v>0</v>
      </c>
    </row>
    <row r="89" spans="1:10" x14ac:dyDescent="0.35">
      <c r="A89" s="1">
        <v>87</v>
      </c>
      <c r="B89" s="70"/>
      <c r="C89" s="25">
        <v>2020</v>
      </c>
      <c r="D89" s="54">
        <f>'FScore(Y)'!F110</f>
        <v>0.98193671363237534</v>
      </c>
      <c r="E89" s="1">
        <f t="shared" si="2"/>
        <v>0</v>
      </c>
      <c r="F89" s="55">
        <f>'X1'!F89</f>
        <v>-0.20272101377551846</v>
      </c>
      <c r="G89" s="20">
        <f>'X2'!F89</f>
        <v>0.375</v>
      </c>
      <c r="H89" s="1">
        <f>'X3'!E89</f>
        <v>1</v>
      </c>
      <c r="I89" s="1">
        <f>'X4 dan X5'!D89</f>
        <v>1</v>
      </c>
      <c r="J89" s="1">
        <f>'X4 dan X5'!E89</f>
        <v>0</v>
      </c>
    </row>
    <row r="90" spans="1:10" x14ac:dyDescent="0.35">
      <c r="A90" s="1">
        <v>88</v>
      </c>
      <c r="B90" s="70"/>
      <c r="C90" s="25">
        <v>2021</v>
      </c>
      <c r="D90" s="54">
        <f>'FScore(Y)'!F111</f>
        <v>-0.60541299112469327</v>
      </c>
      <c r="E90" s="1">
        <f t="shared" si="2"/>
        <v>0</v>
      </c>
      <c r="F90" s="55">
        <f>'X1'!F90</f>
        <v>0.11605280244039368</v>
      </c>
      <c r="G90" s="20">
        <f>'X2'!F90</f>
        <v>0.625</v>
      </c>
      <c r="H90" s="1">
        <f>'X3'!E90</f>
        <v>0</v>
      </c>
      <c r="I90" s="1">
        <f>'X4 dan X5'!D90</f>
        <v>1</v>
      </c>
      <c r="J90" s="1">
        <f>'X4 dan X5'!E90</f>
        <v>0</v>
      </c>
    </row>
    <row r="91" spans="1:10" x14ac:dyDescent="0.35">
      <c r="A91" s="1">
        <v>89</v>
      </c>
      <c r="B91" s="70" t="s">
        <v>80</v>
      </c>
      <c r="C91" s="25">
        <v>2018</v>
      </c>
      <c r="D91" s="54">
        <f>'FScore(Y)'!F113</f>
        <v>-4.6262083502291308E-2</v>
      </c>
      <c r="E91" s="1">
        <f t="shared" si="2"/>
        <v>0</v>
      </c>
      <c r="F91" s="55">
        <f>'X1'!F91</f>
        <v>2.328977281723912E-2</v>
      </c>
      <c r="G91" s="20">
        <f>'X2'!F91</f>
        <v>0.5</v>
      </c>
      <c r="H91" s="1">
        <f>'X3'!E91</f>
        <v>0</v>
      </c>
      <c r="I91" s="1">
        <f>'X4 dan X5'!D91</f>
        <v>0</v>
      </c>
      <c r="J91" s="1">
        <f>'X4 dan X5'!E91</f>
        <v>0</v>
      </c>
    </row>
    <row r="92" spans="1:10" x14ac:dyDescent="0.35">
      <c r="A92" s="1">
        <v>90</v>
      </c>
      <c r="B92" s="70"/>
      <c r="C92" s="25">
        <v>2019</v>
      </c>
      <c r="D92" s="54">
        <f>'FScore(Y)'!F114</f>
        <v>-1.5668382489753292E-2</v>
      </c>
      <c r="E92" s="1">
        <f t="shared" si="2"/>
        <v>0</v>
      </c>
      <c r="F92" s="55">
        <f>'X1'!F92</f>
        <v>6.6743910438764362E-2</v>
      </c>
      <c r="G92" s="20">
        <f>'X2'!F92</f>
        <v>0.5</v>
      </c>
      <c r="H92" s="1">
        <f>'X3'!E92</f>
        <v>0</v>
      </c>
      <c r="I92" s="1">
        <f>'X4 dan X5'!D92</f>
        <v>0</v>
      </c>
      <c r="J92" s="1">
        <f>'X4 dan X5'!E92</f>
        <v>0</v>
      </c>
    </row>
    <row r="93" spans="1:10" x14ac:dyDescent="0.35">
      <c r="A93" s="1">
        <v>91</v>
      </c>
      <c r="B93" s="70"/>
      <c r="C93" s="25">
        <v>2020</v>
      </c>
      <c r="D93" s="54">
        <f>'FScore(Y)'!F115</f>
        <v>0.15277164951810757</v>
      </c>
      <c r="E93" s="1">
        <f t="shared" si="2"/>
        <v>0</v>
      </c>
      <c r="F93" s="55">
        <f>'X1'!F93</f>
        <v>9.7636829205194745E-2</v>
      </c>
      <c r="G93" s="20">
        <f>'X2'!F93</f>
        <v>0.5</v>
      </c>
      <c r="H93" s="1">
        <f>'X3'!E93</f>
        <v>0</v>
      </c>
      <c r="I93" s="1">
        <f>'X4 dan X5'!D93</f>
        <v>0</v>
      </c>
      <c r="J93" s="1">
        <f>'X4 dan X5'!E93</f>
        <v>0</v>
      </c>
    </row>
    <row r="94" spans="1:10" x14ac:dyDescent="0.35">
      <c r="A94" s="1">
        <v>92</v>
      </c>
      <c r="B94" s="70"/>
      <c r="C94" s="25">
        <v>2021</v>
      </c>
      <c r="D94" s="54">
        <f>'FScore(Y)'!F116</f>
        <v>1.6759696396616577E-2</v>
      </c>
      <c r="E94" s="1">
        <f t="shared" si="2"/>
        <v>0</v>
      </c>
      <c r="F94" s="55">
        <f>'X1'!F94</f>
        <v>0.12877320538123577</v>
      </c>
      <c r="G94" s="20">
        <f>'X2'!F94</f>
        <v>0.5</v>
      </c>
      <c r="H94" s="1">
        <f>'X3'!E94</f>
        <v>0</v>
      </c>
      <c r="I94" s="1">
        <f>'X4 dan X5'!D94</f>
        <v>0</v>
      </c>
      <c r="J94" s="1">
        <f>'X4 dan X5'!E94</f>
        <v>0</v>
      </c>
    </row>
    <row r="95" spans="1:10" x14ac:dyDescent="0.35">
      <c r="A95" s="1">
        <v>93</v>
      </c>
      <c r="B95" s="70" t="s">
        <v>81</v>
      </c>
      <c r="C95" s="25">
        <v>2018</v>
      </c>
      <c r="D95" s="54">
        <f>'FScore(Y)'!F118</f>
        <v>-5.7928705400468516E-2</v>
      </c>
      <c r="E95" s="1">
        <f t="shared" si="2"/>
        <v>0</v>
      </c>
      <c r="F95" s="55">
        <f>'X1'!F95</f>
        <v>0.15029596025824313</v>
      </c>
      <c r="G95" s="20">
        <f>'X2'!F95</f>
        <v>0.625</v>
      </c>
      <c r="H95" s="1">
        <f>'X3'!E95</f>
        <v>0</v>
      </c>
      <c r="I95" s="1">
        <f>'X4 dan X5'!D95</f>
        <v>1</v>
      </c>
      <c r="J95" s="1">
        <f>'X4 dan X5'!E95</f>
        <v>0</v>
      </c>
    </row>
    <row r="96" spans="1:10" x14ac:dyDescent="0.35">
      <c r="A96" s="1">
        <v>94</v>
      </c>
      <c r="B96" s="70"/>
      <c r="C96" s="25">
        <v>2019</v>
      </c>
      <c r="D96" s="54">
        <f>'FScore(Y)'!F119</f>
        <v>3.0793908511200067E-2</v>
      </c>
      <c r="E96" s="1">
        <f t="shared" si="2"/>
        <v>0</v>
      </c>
      <c r="F96" s="55">
        <f>'X1'!F96</f>
        <v>9.2420931340080753E-2</v>
      </c>
      <c r="G96" s="20">
        <f>'X2'!F96</f>
        <v>0.5</v>
      </c>
      <c r="H96" s="1">
        <f>'X3'!E96</f>
        <v>0</v>
      </c>
      <c r="I96" s="1">
        <f>'X4 dan X5'!D96</f>
        <v>1</v>
      </c>
      <c r="J96" s="1">
        <f>'X4 dan X5'!E96</f>
        <v>0</v>
      </c>
    </row>
    <row r="97" spans="1:10" x14ac:dyDescent="0.35">
      <c r="A97" s="1">
        <v>95</v>
      </c>
      <c r="B97" s="70"/>
      <c r="C97" s="25">
        <v>2020</v>
      </c>
      <c r="D97" s="54">
        <f>'FScore(Y)'!F120</f>
        <v>-2.3469881373454772E-2</v>
      </c>
      <c r="E97" s="1">
        <f t="shared" si="2"/>
        <v>0</v>
      </c>
      <c r="F97" s="55">
        <f>'X1'!F97</f>
        <v>0.13644277243401565</v>
      </c>
      <c r="G97" s="20">
        <f>'X2'!F97</f>
        <v>0.625</v>
      </c>
      <c r="H97" s="1">
        <f>'X3'!E97</f>
        <v>0</v>
      </c>
      <c r="I97" s="1">
        <f>'X4 dan X5'!D97</f>
        <v>0</v>
      </c>
      <c r="J97" s="1">
        <f>'X4 dan X5'!E97</f>
        <v>0</v>
      </c>
    </row>
    <row r="98" spans="1:10" x14ac:dyDescent="0.35">
      <c r="A98" s="1">
        <v>96</v>
      </c>
      <c r="B98" s="70"/>
      <c r="C98" s="25">
        <v>2021</v>
      </c>
      <c r="D98" s="54">
        <f>'FScore(Y)'!F121</f>
        <v>0.20528693065296469</v>
      </c>
      <c r="E98" s="1">
        <f t="shared" si="2"/>
        <v>0</v>
      </c>
      <c r="F98" s="55">
        <f>'X1'!F98</f>
        <v>4.2254427904759619E-2</v>
      </c>
      <c r="G98" s="20">
        <f>'X2'!F98</f>
        <v>0.5</v>
      </c>
      <c r="H98" s="1">
        <f>'X3'!E98</f>
        <v>0</v>
      </c>
      <c r="I98" s="1">
        <f>'X4 dan X5'!D98</f>
        <v>1</v>
      </c>
      <c r="J98" s="1">
        <f>'X4 dan X5'!E98</f>
        <v>0</v>
      </c>
    </row>
    <row r="99" spans="1:10" x14ac:dyDescent="0.35">
      <c r="A99" s="1">
        <v>97</v>
      </c>
      <c r="B99" s="70" t="s">
        <v>82</v>
      </c>
      <c r="C99" s="25">
        <v>2018</v>
      </c>
      <c r="D99" s="54">
        <f>'FScore(Y)'!F123</f>
        <v>-4.0151410810867857E-2</v>
      </c>
      <c r="E99" s="1">
        <f t="shared" ref="E99:E130" si="3">IF(D99&lt;1,0,1)</f>
        <v>0</v>
      </c>
      <c r="F99" s="55">
        <f>'X1'!F99</f>
        <v>-9.4122910094783518E-2</v>
      </c>
      <c r="G99" s="20">
        <f>'X2'!F99</f>
        <v>0.5</v>
      </c>
      <c r="H99" s="1">
        <f>'X3'!E99</f>
        <v>0</v>
      </c>
      <c r="I99" s="1">
        <f>'X4 dan X5'!D99</f>
        <v>1</v>
      </c>
      <c r="J99" s="1">
        <f>'X4 dan X5'!E99</f>
        <v>0</v>
      </c>
    </row>
    <row r="100" spans="1:10" x14ac:dyDescent="0.35">
      <c r="A100" s="1">
        <v>98</v>
      </c>
      <c r="B100" s="70"/>
      <c r="C100" s="25">
        <v>2019</v>
      </c>
      <c r="D100" s="54">
        <f>'FScore(Y)'!F124</f>
        <v>0.303715396826015</v>
      </c>
      <c r="E100" s="1">
        <f t="shared" si="3"/>
        <v>0</v>
      </c>
      <c r="F100" s="55">
        <f>'X1'!F100</f>
        <v>0.13013691012719683</v>
      </c>
      <c r="G100" s="20">
        <f>'X2'!F100</f>
        <v>0.5</v>
      </c>
      <c r="H100" s="1">
        <f>'X3'!E100</f>
        <v>1</v>
      </c>
      <c r="I100" s="1">
        <f>'X4 dan X5'!D100</f>
        <v>1</v>
      </c>
      <c r="J100" s="1">
        <f>'X4 dan X5'!E100</f>
        <v>0</v>
      </c>
    </row>
    <row r="101" spans="1:10" x14ac:dyDescent="0.35">
      <c r="A101" s="1">
        <v>99</v>
      </c>
      <c r="B101" s="70"/>
      <c r="C101" s="25">
        <v>2020</v>
      </c>
      <c r="D101" s="54">
        <f>'FScore(Y)'!F125</f>
        <v>-0.61679996399598047</v>
      </c>
      <c r="E101" s="1">
        <f t="shared" si="3"/>
        <v>0</v>
      </c>
      <c r="F101" s="55">
        <f>'X1'!F101</f>
        <v>5.8080632526956721E-2</v>
      </c>
      <c r="G101" s="20">
        <f>'X2'!F101</f>
        <v>0.5</v>
      </c>
      <c r="H101" s="1">
        <f>'X3'!E101</f>
        <v>0</v>
      </c>
      <c r="I101" s="1">
        <f>'X4 dan X5'!D101</f>
        <v>1</v>
      </c>
      <c r="J101" s="1">
        <f>'X4 dan X5'!E101</f>
        <v>0</v>
      </c>
    </row>
    <row r="102" spans="1:10" x14ac:dyDescent="0.35">
      <c r="A102" s="1">
        <v>100</v>
      </c>
      <c r="B102" s="70"/>
      <c r="C102" s="25">
        <v>2021</v>
      </c>
      <c r="D102" s="54">
        <f>'FScore(Y)'!F126</f>
        <v>-2.64852748114488E-2</v>
      </c>
      <c r="E102" s="1">
        <f t="shared" si="3"/>
        <v>0</v>
      </c>
      <c r="F102" s="55">
        <f>'X1'!F102</f>
        <v>1.0913355946103624</v>
      </c>
      <c r="G102" s="20">
        <f>'X2'!F102</f>
        <v>0.75</v>
      </c>
      <c r="H102" s="1">
        <f>'X3'!E102</f>
        <v>1</v>
      </c>
      <c r="I102" s="1">
        <f>'X4 dan X5'!D102</f>
        <v>1</v>
      </c>
      <c r="J102" s="1">
        <f>'X4 dan X5'!E102</f>
        <v>0</v>
      </c>
    </row>
    <row r="103" spans="1:10" x14ac:dyDescent="0.35">
      <c r="A103" s="1">
        <v>101</v>
      </c>
      <c r="B103" s="70" t="s">
        <v>83</v>
      </c>
      <c r="C103" s="25">
        <v>2018</v>
      </c>
      <c r="D103" s="54">
        <f>'FScore(Y)'!F128</f>
        <v>-0.18491868108161691</v>
      </c>
      <c r="E103" s="1">
        <f t="shared" si="3"/>
        <v>0</v>
      </c>
      <c r="F103" s="55">
        <f>'X1'!F103</f>
        <v>0.23398920068068049</v>
      </c>
      <c r="G103" s="20">
        <f>'X2'!F103</f>
        <v>0.5</v>
      </c>
      <c r="H103" s="1">
        <f>'X3'!E103</f>
        <v>0</v>
      </c>
      <c r="I103" s="1">
        <f>'X4 dan X5'!D103</f>
        <v>0</v>
      </c>
      <c r="J103" s="1">
        <f>'X4 dan X5'!E103</f>
        <v>0</v>
      </c>
    </row>
    <row r="104" spans="1:10" x14ac:dyDescent="0.35">
      <c r="A104" s="1">
        <v>102</v>
      </c>
      <c r="B104" s="70"/>
      <c r="C104" s="25">
        <v>2019</v>
      </c>
      <c r="D104" s="54">
        <f>'FScore(Y)'!F129</f>
        <v>-0.32717283351510967</v>
      </c>
      <c r="E104" s="1">
        <f t="shared" si="3"/>
        <v>0</v>
      </c>
      <c r="F104" s="55">
        <f>'X1'!F104</f>
        <v>0.36538438586322258</v>
      </c>
      <c r="G104" s="20">
        <f>'X2'!F104</f>
        <v>0.4</v>
      </c>
      <c r="H104" s="1">
        <f>'X3'!E104</f>
        <v>0</v>
      </c>
      <c r="I104" s="1">
        <f>'X4 dan X5'!D104</f>
        <v>1</v>
      </c>
      <c r="J104" s="1">
        <f>'X4 dan X5'!E104</f>
        <v>0</v>
      </c>
    </row>
    <row r="105" spans="1:10" x14ac:dyDescent="0.35">
      <c r="A105" s="1">
        <v>103</v>
      </c>
      <c r="B105" s="70"/>
      <c r="C105" s="25">
        <v>2020</v>
      </c>
      <c r="D105" s="54">
        <f>'FScore(Y)'!F130</f>
        <v>-0.24545456836034071</v>
      </c>
      <c r="E105" s="1">
        <f t="shared" si="3"/>
        <v>0</v>
      </c>
      <c r="F105" s="55">
        <f>'X1'!F105</f>
        <v>0.60338220240121054</v>
      </c>
      <c r="G105" s="20">
        <f>'X2'!F105</f>
        <v>0.66666666666666663</v>
      </c>
      <c r="H105" s="1">
        <f>'X3'!E105</f>
        <v>0</v>
      </c>
      <c r="I105" s="1">
        <f>'X4 dan X5'!D105</f>
        <v>1</v>
      </c>
      <c r="J105" s="1">
        <f>'X4 dan X5'!E105</f>
        <v>0</v>
      </c>
    </row>
    <row r="106" spans="1:10" x14ac:dyDescent="0.35">
      <c r="A106" s="1">
        <v>104</v>
      </c>
      <c r="B106" s="70"/>
      <c r="C106" s="25">
        <v>2021</v>
      </c>
      <c r="D106" s="54">
        <f>'FScore(Y)'!F131</f>
        <v>-0.29466853626634892</v>
      </c>
      <c r="E106" s="1">
        <f t="shared" si="3"/>
        <v>0</v>
      </c>
      <c r="F106" s="55">
        <f>'X1'!F106</f>
        <v>0.78435791333760385</v>
      </c>
      <c r="G106" s="20">
        <f>'X2'!F106</f>
        <v>0.66666666666666663</v>
      </c>
      <c r="H106" s="1">
        <f>'X3'!E106</f>
        <v>0</v>
      </c>
      <c r="I106" s="1">
        <f>'X4 dan X5'!D106</f>
        <v>1</v>
      </c>
      <c r="J106" s="1">
        <f>'X4 dan X5'!E106</f>
        <v>0</v>
      </c>
    </row>
    <row r="107" spans="1:10" x14ac:dyDescent="0.35">
      <c r="A107" s="1">
        <v>105</v>
      </c>
      <c r="B107" s="70" t="s">
        <v>84</v>
      </c>
      <c r="C107" s="25">
        <v>2018</v>
      </c>
      <c r="D107" s="54">
        <f>'FScore(Y)'!F133</f>
        <v>-0.16574754520733309</v>
      </c>
      <c r="E107" s="1">
        <f t="shared" si="3"/>
        <v>0</v>
      </c>
      <c r="F107" s="55">
        <f>'X1'!F107</f>
        <v>0.21682540130521064</v>
      </c>
      <c r="G107" s="20">
        <f>'X2'!F107</f>
        <v>0.5</v>
      </c>
      <c r="H107" s="1">
        <f>'X3'!E107</f>
        <v>0</v>
      </c>
      <c r="I107" s="1">
        <f>'X4 dan X5'!D107</f>
        <v>1</v>
      </c>
      <c r="J107" s="1">
        <f>'X4 dan X5'!E107</f>
        <v>0</v>
      </c>
    </row>
    <row r="108" spans="1:10" x14ac:dyDescent="0.35">
      <c r="A108" s="1">
        <v>106</v>
      </c>
      <c r="B108" s="70"/>
      <c r="C108" s="25">
        <v>2019</v>
      </c>
      <c r="D108" s="54">
        <f>'FScore(Y)'!F134</f>
        <v>-0.17413980728791884</v>
      </c>
      <c r="E108" s="1">
        <f t="shared" si="3"/>
        <v>0</v>
      </c>
      <c r="F108" s="55">
        <f>'X1'!F108</f>
        <v>0.22439612246578425</v>
      </c>
      <c r="G108" s="20">
        <f>'X2'!F108</f>
        <v>0.5</v>
      </c>
      <c r="H108" s="1">
        <f>'X3'!E108</f>
        <v>0</v>
      </c>
      <c r="I108" s="1">
        <f>'X4 dan X5'!D108</f>
        <v>1</v>
      </c>
      <c r="J108" s="1">
        <f>'X4 dan X5'!E108</f>
        <v>0</v>
      </c>
    </row>
    <row r="109" spans="1:10" x14ac:dyDescent="0.35">
      <c r="A109" s="1">
        <v>107</v>
      </c>
      <c r="B109" s="70"/>
      <c r="C109" s="25">
        <v>2020</v>
      </c>
      <c r="D109" s="54">
        <f>'FScore(Y)'!F135</f>
        <v>-0.14547991690115319</v>
      </c>
      <c r="E109" s="1">
        <f t="shared" si="3"/>
        <v>0</v>
      </c>
      <c r="F109" s="55">
        <f>'X1'!F109</f>
        <v>8.9414651795481637E-2</v>
      </c>
      <c r="G109" s="20">
        <f>'X2'!F109</f>
        <v>0.5</v>
      </c>
      <c r="H109" s="1">
        <f>'X3'!E109</f>
        <v>1</v>
      </c>
      <c r="I109" s="1">
        <f>'X4 dan X5'!D109</f>
        <v>1</v>
      </c>
      <c r="J109" s="1">
        <f>'X4 dan X5'!E109</f>
        <v>0</v>
      </c>
    </row>
    <row r="110" spans="1:10" x14ac:dyDescent="0.35">
      <c r="A110" s="1">
        <v>108</v>
      </c>
      <c r="B110" s="70"/>
      <c r="C110" s="25">
        <v>2021</v>
      </c>
      <c r="D110" s="54">
        <f>'FScore(Y)'!F136</f>
        <v>0.11512336096553857</v>
      </c>
      <c r="E110" s="1">
        <f t="shared" si="3"/>
        <v>0</v>
      </c>
      <c r="F110" s="55">
        <f>'X1'!F110</f>
        <v>0.2045442488668785</v>
      </c>
      <c r="G110" s="20">
        <f>'X2'!F110</f>
        <v>0.66666666666666663</v>
      </c>
      <c r="H110" s="1">
        <f>'X3'!E110</f>
        <v>0</v>
      </c>
      <c r="I110" s="1">
        <f>'X4 dan X5'!D110</f>
        <v>1</v>
      </c>
      <c r="J110" s="1">
        <f>'X4 dan X5'!E110</f>
        <v>0</v>
      </c>
    </row>
    <row r="111" spans="1:10" x14ac:dyDescent="0.35">
      <c r="A111" s="1">
        <v>109</v>
      </c>
      <c r="B111" s="70" t="s">
        <v>85</v>
      </c>
      <c r="C111" s="25">
        <v>2018</v>
      </c>
      <c r="D111" s="54">
        <f>'FScore(Y)'!F138</f>
        <v>9.3648137123114941E-3</v>
      </c>
      <c r="E111" s="1">
        <f t="shared" si="3"/>
        <v>0</v>
      </c>
      <c r="F111" s="55">
        <f>'X1'!F111</f>
        <v>6.8952777271270249E-2</v>
      </c>
      <c r="G111" s="20">
        <f>'X2'!F111</f>
        <v>0.5</v>
      </c>
      <c r="H111" s="1">
        <f>'X3'!E111</f>
        <v>0</v>
      </c>
      <c r="I111" s="1">
        <f>'X4 dan X5'!D111</f>
        <v>1</v>
      </c>
      <c r="J111" s="1">
        <f>'X4 dan X5'!E111</f>
        <v>0</v>
      </c>
    </row>
    <row r="112" spans="1:10" x14ac:dyDescent="0.35">
      <c r="A112" s="1">
        <v>110</v>
      </c>
      <c r="B112" s="70"/>
      <c r="C112" s="25">
        <v>2019</v>
      </c>
      <c r="D112" s="54">
        <f>'FScore(Y)'!F139</f>
        <v>-2.0168994243890473E-3</v>
      </c>
      <c r="E112" s="1">
        <f t="shared" si="3"/>
        <v>0</v>
      </c>
      <c r="F112" s="55">
        <f>'X1'!F112</f>
        <v>9.6480797645422944E-2</v>
      </c>
      <c r="G112" s="20">
        <f>'X2'!F112</f>
        <v>0.5</v>
      </c>
      <c r="H112" s="1">
        <f>'X3'!E112</f>
        <v>0</v>
      </c>
      <c r="I112" s="1">
        <f>'X4 dan X5'!D112</f>
        <v>1</v>
      </c>
      <c r="J112" s="1">
        <f>'X4 dan X5'!E112</f>
        <v>0</v>
      </c>
    </row>
    <row r="113" spans="1:10" x14ac:dyDescent="0.35">
      <c r="A113" s="1">
        <v>111</v>
      </c>
      <c r="B113" s="70"/>
      <c r="C113" s="25">
        <v>2020</v>
      </c>
      <c r="D113" s="54">
        <f>'FScore(Y)'!F140</f>
        <v>-0.16771853114999344</v>
      </c>
      <c r="E113" s="1">
        <f t="shared" si="3"/>
        <v>0</v>
      </c>
      <c r="F113" s="55">
        <f>'X1'!F113</f>
        <v>8.4269643730888882E-2</v>
      </c>
      <c r="G113" s="20">
        <f>'X2'!F113</f>
        <v>0.5</v>
      </c>
      <c r="H113" s="1">
        <f>'X3'!E113</f>
        <v>0</v>
      </c>
      <c r="I113" s="1">
        <f>'X4 dan X5'!D113</f>
        <v>1</v>
      </c>
      <c r="J113" s="1">
        <f>'X4 dan X5'!E113</f>
        <v>0</v>
      </c>
    </row>
    <row r="114" spans="1:10" x14ac:dyDescent="0.35">
      <c r="A114" s="1">
        <v>112</v>
      </c>
      <c r="B114" s="70"/>
      <c r="C114" s="25">
        <v>2021</v>
      </c>
      <c r="D114" s="54">
        <f>'FScore(Y)'!F141</f>
        <v>0.15649696631146029</v>
      </c>
      <c r="E114" s="1">
        <f t="shared" si="3"/>
        <v>0</v>
      </c>
      <c r="F114" s="55">
        <f>'X1'!F114</f>
        <v>0.20728293294293737</v>
      </c>
      <c r="G114" s="20">
        <f>'X2'!F114</f>
        <v>0.5</v>
      </c>
      <c r="H114" s="1">
        <f>'X3'!E114</f>
        <v>1</v>
      </c>
      <c r="I114" s="1">
        <f>'X4 dan X5'!D114</f>
        <v>1</v>
      </c>
      <c r="J114" s="1">
        <f>'X4 dan X5'!E114</f>
        <v>0</v>
      </c>
    </row>
    <row r="115" spans="1:10" x14ac:dyDescent="0.35">
      <c r="A115" s="1">
        <v>113</v>
      </c>
      <c r="B115" s="70" t="s">
        <v>86</v>
      </c>
      <c r="C115" s="25">
        <v>2018</v>
      </c>
      <c r="D115" s="54">
        <f>'FScore(Y)'!F143</f>
        <v>-3.4700160554127592E-2</v>
      </c>
      <c r="E115" s="1">
        <f t="shared" si="3"/>
        <v>0</v>
      </c>
      <c r="F115" s="55">
        <f>'X1'!F115</f>
        <v>4.0286404937595749E-2</v>
      </c>
      <c r="G115" s="20">
        <f>'X2'!F115</f>
        <v>0.66666666666666663</v>
      </c>
      <c r="H115" s="1">
        <f>'X3'!E115</f>
        <v>0</v>
      </c>
      <c r="I115" s="1">
        <f>'X4 dan X5'!D115</f>
        <v>0</v>
      </c>
      <c r="J115" s="1">
        <f>'X4 dan X5'!E115</f>
        <v>0</v>
      </c>
    </row>
    <row r="116" spans="1:10" x14ac:dyDescent="0.35">
      <c r="A116" s="1">
        <v>114</v>
      </c>
      <c r="B116" s="70"/>
      <c r="C116" s="25">
        <v>2019</v>
      </c>
      <c r="D116" s="54">
        <f>'FScore(Y)'!F144</f>
        <v>-0.17288308531618823</v>
      </c>
      <c r="E116" s="1">
        <f t="shared" si="3"/>
        <v>0</v>
      </c>
      <c r="F116" s="55">
        <f>'X1'!F116</f>
        <v>4.2533728454683006E-2</v>
      </c>
      <c r="G116" s="20">
        <f>'X2'!F116</f>
        <v>0.66666666666666663</v>
      </c>
      <c r="H116" s="1">
        <f>'X3'!E116</f>
        <v>1</v>
      </c>
      <c r="I116" s="1">
        <f>'X4 dan X5'!D116</f>
        <v>0</v>
      </c>
      <c r="J116" s="1">
        <f>'X4 dan X5'!E116</f>
        <v>0</v>
      </c>
    </row>
    <row r="117" spans="1:10" x14ac:dyDescent="0.35">
      <c r="A117" s="1">
        <v>115</v>
      </c>
      <c r="B117" s="70"/>
      <c r="C117" s="25">
        <v>2020</v>
      </c>
      <c r="D117" s="54">
        <f>'FScore(Y)'!F145</f>
        <v>-3.9073688540409983E-2</v>
      </c>
      <c r="E117" s="1">
        <f t="shared" si="3"/>
        <v>0</v>
      </c>
      <c r="F117" s="55">
        <f>'X1'!F117</f>
        <v>3.9263893436195492E-3</v>
      </c>
      <c r="G117" s="20">
        <f>'X2'!F117</f>
        <v>0.66666666666666663</v>
      </c>
      <c r="H117" s="1">
        <f>'X3'!E117</f>
        <v>0</v>
      </c>
      <c r="I117" s="1">
        <f>'X4 dan X5'!D117</f>
        <v>0</v>
      </c>
      <c r="J117" s="1">
        <f>'X4 dan X5'!E117</f>
        <v>0</v>
      </c>
    </row>
    <row r="118" spans="1:10" x14ac:dyDescent="0.35">
      <c r="A118" s="1">
        <v>116</v>
      </c>
      <c r="B118" s="70"/>
      <c r="C118" s="25">
        <v>2021</v>
      </c>
      <c r="D118" s="54">
        <f>'FScore(Y)'!F146</f>
        <v>0.13610570692672269</v>
      </c>
      <c r="E118" s="1">
        <f t="shared" si="3"/>
        <v>0</v>
      </c>
      <c r="F118" s="55">
        <f>'X1'!F118</f>
        <v>0.13472971853754989</v>
      </c>
      <c r="G118" s="20">
        <f>'X2'!F118</f>
        <v>0.66666666666666663</v>
      </c>
      <c r="H118" s="1">
        <f>'X3'!E118</f>
        <v>0</v>
      </c>
      <c r="I118" s="1">
        <f>'X4 dan X5'!D118</f>
        <v>1</v>
      </c>
      <c r="J118" s="1">
        <f>'X4 dan X5'!E118</f>
        <v>0</v>
      </c>
    </row>
    <row r="119" spans="1:10" x14ac:dyDescent="0.35">
      <c r="A119" s="1">
        <v>117</v>
      </c>
      <c r="B119" s="70" t="s">
        <v>87</v>
      </c>
      <c r="C119" s="25">
        <v>2018</v>
      </c>
      <c r="D119" s="54">
        <f>'FScore(Y)'!F148</f>
        <v>-0.25475727416551808</v>
      </c>
      <c r="E119" s="1">
        <f t="shared" si="3"/>
        <v>0</v>
      </c>
      <c r="F119" s="55">
        <f>'X1'!F119</f>
        <v>0.42830680889181438</v>
      </c>
      <c r="G119" s="20">
        <f>'X2'!F119</f>
        <v>0.75</v>
      </c>
      <c r="H119" s="1">
        <f>'X3'!E119</f>
        <v>0</v>
      </c>
      <c r="I119" s="1">
        <f>'X4 dan X5'!D119</f>
        <v>1</v>
      </c>
      <c r="J119" s="1">
        <f>'X4 dan X5'!E119</f>
        <v>0</v>
      </c>
    </row>
    <row r="120" spans="1:10" x14ac:dyDescent="0.35">
      <c r="A120" s="1">
        <v>118</v>
      </c>
      <c r="B120" s="70"/>
      <c r="C120" s="25">
        <v>2019</v>
      </c>
      <c r="D120" s="54">
        <f>'FScore(Y)'!F149</f>
        <v>0.10801819528530361</v>
      </c>
      <c r="E120" s="1">
        <f t="shared" si="3"/>
        <v>0</v>
      </c>
      <c r="F120" s="55">
        <f>'X1'!F120</f>
        <v>0.1610321952051175</v>
      </c>
      <c r="G120" s="20">
        <f>'X2'!F120</f>
        <v>0.66666666666666663</v>
      </c>
      <c r="H120" s="1">
        <f>'X3'!E120</f>
        <v>0</v>
      </c>
      <c r="I120" s="1">
        <f>'X4 dan X5'!D120</f>
        <v>1</v>
      </c>
      <c r="J120" s="1">
        <f>'X4 dan X5'!E120</f>
        <v>0</v>
      </c>
    </row>
    <row r="121" spans="1:10" x14ac:dyDescent="0.35">
      <c r="A121" s="1">
        <v>119</v>
      </c>
      <c r="B121" s="70"/>
      <c r="C121" s="25">
        <v>2020</v>
      </c>
      <c r="D121" s="54">
        <f>'FScore(Y)'!F150</f>
        <v>-0.17244867336642056</v>
      </c>
      <c r="E121" s="1">
        <f t="shared" si="3"/>
        <v>0</v>
      </c>
      <c r="F121" s="55">
        <f>'X1'!F121</f>
        <v>3.5007095043111523E-2</v>
      </c>
      <c r="G121" s="20">
        <f>'X2'!F121</f>
        <v>0.5</v>
      </c>
      <c r="H121" s="1">
        <f>'X3'!E121</f>
        <v>0</v>
      </c>
      <c r="I121" s="1">
        <f>'X4 dan X5'!D121</f>
        <v>1</v>
      </c>
      <c r="J121" s="1">
        <f>'X4 dan X5'!E121</f>
        <v>0</v>
      </c>
    </row>
    <row r="122" spans="1:10" x14ac:dyDescent="0.35">
      <c r="A122" s="1">
        <v>120</v>
      </c>
      <c r="B122" s="70"/>
      <c r="C122" s="25">
        <v>2021</v>
      </c>
      <c r="D122" s="54">
        <f>'FScore(Y)'!F151</f>
        <v>0.96557176215118901</v>
      </c>
      <c r="E122" s="1">
        <f t="shared" si="3"/>
        <v>0</v>
      </c>
      <c r="F122" s="55">
        <f>'X1'!F122</f>
        <v>-0.39795729815257885</v>
      </c>
      <c r="G122" s="20">
        <f>'X2'!F122</f>
        <v>0.6</v>
      </c>
      <c r="H122" s="1">
        <f>'X3'!E122</f>
        <v>0</v>
      </c>
      <c r="I122" s="1">
        <f>'X4 dan X5'!D122</f>
        <v>1</v>
      </c>
      <c r="J122" s="1">
        <f>'X4 dan X5'!E122</f>
        <v>0</v>
      </c>
    </row>
    <row r="123" spans="1:10" x14ac:dyDescent="0.35">
      <c r="A123" s="1">
        <v>121</v>
      </c>
      <c r="B123" s="70" t="s">
        <v>88</v>
      </c>
      <c r="C123" s="25">
        <v>2018</v>
      </c>
      <c r="D123" s="54">
        <f>'FScore(Y)'!F153</f>
        <v>6.0659014290554945E-2</v>
      </c>
      <c r="E123" s="1">
        <f t="shared" si="3"/>
        <v>0</v>
      </c>
      <c r="F123" s="55">
        <f>'X1'!F123</f>
        <v>1.1336110899333965E-2</v>
      </c>
      <c r="G123" s="20">
        <f>'X2'!F123</f>
        <v>0.66666666666666663</v>
      </c>
      <c r="H123" s="1">
        <f>'X3'!E123</f>
        <v>0</v>
      </c>
      <c r="I123" s="1">
        <f>'X4 dan X5'!D123</f>
        <v>1</v>
      </c>
      <c r="J123" s="1">
        <f>'X4 dan X5'!E123</f>
        <v>0</v>
      </c>
    </row>
    <row r="124" spans="1:10" x14ac:dyDescent="0.35">
      <c r="A124" s="1">
        <v>122</v>
      </c>
      <c r="B124" s="70"/>
      <c r="C124" s="25">
        <v>2019</v>
      </c>
      <c r="D124" s="54">
        <f>'FScore(Y)'!F154</f>
        <v>0.18786466272777766</v>
      </c>
      <c r="E124" s="1">
        <f t="shared" si="3"/>
        <v>0</v>
      </c>
      <c r="F124" s="55">
        <f>'X1'!F124</f>
        <v>0.18897729214417944</v>
      </c>
      <c r="G124" s="20">
        <f>'X2'!F124</f>
        <v>0.66666666666666663</v>
      </c>
      <c r="H124" s="1">
        <f>'X3'!E124</f>
        <v>0</v>
      </c>
      <c r="I124" s="1">
        <f>'X4 dan X5'!D124</f>
        <v>0</v>
      </c>
      <c r="J124" s="1">
        <f>'X4 dan X5'!E124</f>
        <v>0</v>
      </c>
    </row>
    <row r="125" spans="1:10" x14ac:dyDescent="0.35">
      <c r="A125" s="1">
        <v>123</v>
      </c>
      <c r="B125" s="70"/>
      <c r="C125" s="25">
        <v>2020</v>
      </c>
      <c r="D125" s="54">
        <f>'FScore(Y)'!F155</f>
        <v>-8.9692004529139724E-2</v>
      </c>
      <c r="E125" s="1">
        <f t="shared" si="3"/>
        <v>0</v>
      </c>
      <c r="F125" s="55">
        <f>'X1'!F125</f>
        <v>0.22025675038285475</v>
      </c>
      <c r="G125" s="20">
        <f>'X2'!F125</f>
        <v>0.66666666666666663</v>
      </c>
      <c r="H125" s="1">
        <f>'X3'!E125</f>
        <v>0</v>
      </c>
      <c r="I125" s="1">
        <f>'X4 dan X5'!D125</f>
        <v>0</v>
      </c>
      <c r="J125" s="1">
        <f>'X4 dan X5'!E125</f>
        <v>0</v>
      </c>
    </row>
    <row r="126" spans="1:10" x14ac:dyDescent="0.35">
      <c r="A126" s="1">
        <v>124</v>
      </c>
      <c r="B126" s="70"/>
      <c r="C126" s="25">
        <v>2021</v>
      </c>
      <c r="D126" s="54">
        <f>'FScore(Y)'!F156</f>
        <v>-5.3048580590567843E-2</v>
      </c>
      <c r="E126" s="1">
        <f t="shared" si="3"/>
        <v>0</v>
      </c>
      <c r="F126" s="55">
        <f>'X1'!F126</f>
        <v>0.17159386215090566</v>
      </c>
      <c r="G126" s="20">
        <f>'X2'!F126</f>
        <v>0.66666666666666663</v>
      </c>
      <c r="H126" s="1">
        <f>'X3'!E126</f>
        <v>0</v>
      </c>
      <c r="I126" s="1">
        <f>'X4 dan X5'!D126</f>
        <v>0</v>
      </c>
      <c r="J126" s="1">
        <f>'X4 dan X5'!E126</f>
        <v>0</v>
      </c>
    </row>
    <row r="127" spans="1:10" x14ac:dyDescent="0.35">
      <c r="A127" s="1">
        <v>125</v>
      </c>
      <c r="B127" s="70" t="s">
        <v>89</v>
      </c>
      <c r="C127" s="25">
        <v>2018</v>
      </c>
      <c r="D127" s="54">
        <f>'FScore(Y)'!F158</f>
        <v>0.14875669904304797</v>
      </c>
      <c r="E127" s="1">
        <f t="shared" si="3"/>
        <v>0</v>
      </c>
      <c r="F127" s="55">
        <f>'X1'!F127</f>
        <v>-6.1377700760211845E-2</v>
      </c>
      <c r="G127" s="20">
        <f>'X2'!F127</f>
        <v>0.42857142857142855</v>
      </c>
      <c r="H127" s="1">
        <f>'X3'!E127</f>
        <v>0</v>
      </c>
      <c r="I127" s="1">
        <f>'X4 dan X5'!D127</f>
        <v>1</v>
      </c>
      <c r="J127" s="1">
        <f>'X4 dan X5'!E127</f>
        <v>0</v>
      </c>
    </row>
    <row r="128" spans="1:10" x14ac:dyDescent="0.35">
      <c r="A128" s="1">
        <v>126</v>
      </c>
      <c r="B128" s="70"/>
      <c r="C128" s="25">
        <v>2019</v>
      </c>
      <c r="D128" s="54">
        <f>'FScore(Y)'!F159</f>
        <v>-0.1691676283324911</v>
      </c>
      <c r="E128" s="1">
        <f t="shared" si="3"/>
        <v>0</v>
      </c>
      <c r="F128" s="55">
        <f>'X1'!F128</f>
        <v>-1.8948835259134343E-2</v>
      </c>
      <c r="G128" s="20">
        <f>'X2'!F128</f>
        <v>0.6</v>
      </c>
      <c r="H128" s="1">
        <f>'X3'!E128</f>
        <v>0</v>
      </c>
      <c r="I128" s="1">
        <f>'X4 dan X5'!D128</f>
        <v>1</v>
      </c>
      <c r="J128" s="1">
        <f>'X4 dan X5'!E128</f>
        <v>0</v>
      </c>
    </row>
    <row r="129" spans="1:13" x14ac:dyDescent="0.35">
      <c r="A129" s="1">
        <v>127</v>
      </c>
      <c r="B129" s="70"/>
      <c r="C129" s="25">
        <v>2020</v>
      </c>
      <c r="D129" s="54">
        <f>'FScore(Y)'!F160</f>
        <v>-0.56378993956984613</v>
      </c>
      <c r="E129" s="1">
        <f t="shared" si="3"/>
        <v>0</v>
      </c>
      <c r="F129" s="55">
        <f>'X1'!F129</f>
        <v>0.19563355706658939</v>
      </c>
      <c r="G129" s="20">
        <f>'X2'!F129</f>
        <v>0.6</v>
      </c>
      <c r="H129" s="1">
        <f>'X3'!E129</f>
        <v>0</v>
      </c>
      <c r="I129" s="1">
        <f>'X4 dan X5'!D129</f>
        <v>0</v>
      </c>
      <c r="J129" s="1">
        <f>'X4 dan X5'!E129</f>
        <v>0</v>
      </c>
    </row>
    <row r="130" spans="1:13" x14ac:dyDescent="0.35">
      <c r="A130" s="1">
        <v>128</v>
      </c>
      <c r="B130" s="70"/>
      <c r="C130" s="25">
        <v>2021</v>
      </c>
      <c r="D130" s="54">
        <f>'FScore(Y)'!F161</f>
        <v>0.5310851932033227</v>
      </c>
      <c r="E130" s="1">
        <f t="shared" si="3"/>
        <v>0</v>
      </c>
      <c r="F130" s="55">
        <f>'X1'!F130</f>
        <v>-0.14410685765846687</v>
      </c>
      <c r="G130" s="20">
        <f>'X2'!F130</f>
        <v>0.6</v>
      </c>
      <c r="H130" s="1">
        <f>'X3'!E130</f>
        <v>0</v>
      </c>
      <c r="I130" s="1">
        <f>'X4 dan X5'!D130</f>
        <v>1</v>
      </c>
      <c r="J130" s="1">
        <f>'X4 dan X5'!E130</f>
        <v>0</v>
      </c>
    </row>
    <row r="131" spans="1:13" x14ac:dyDescent="0.35">
      <c r="A131" s="1">
        <v>133</v>
      </c>
      <c r="B131" s="70" t="s">
        <v>90</v>
      </c>
      <c r="C131" s="25">
        <v>2018</v>
      </c>
      <c r="D131" s="54">
        <f>'FScore(Y)'!F163</f>
        <v>-0.1114154678215236</v>
      </c>
      <c r="E131" s="1">
        <f t="shared" ref="E131:E162" si="4">IF(D131&lt;1,0,1)</f>
        <v>0</v>
      </c>
      <c r="F131" s="55">
        <f>'X1'!F131</f>
        <v>1.7800598101923751E-2</v>
      </c>
      <c r="G131" s="20">
        <f>'X2'!F131</f>
        <v>0.5</v>
      </c>
      <c r="H131" s="1">
        <f>'X3'!E131</f>
        <v>0</v>
      </c>
      <c r="I131" s="1">
        <f>'X4 dan X5'!D131</f>
        <v>1</v>
      </c>
      <c r="J131" s="1">
        <f>'X4 dan X5'!E131</f>
        <v>0</v>
      </c>
    </row>
    <row r="132" spans="1:13" x14ac:dyDescent="0.35">
      <c r="A132" s="1">
        <v>134</v>
      </c>
      <c r="B132" s="70"/>
      <c r="C132" s="25">
        <v>2019</v>
      </c>
      <c r="D132" s="54">
        <f>'FScore(Y)'!F164</f>
        <v>-0.16605554520209276</v>
      </c>
      <c r="E132" s="1">
        <f t="shared" si="4"/>
        <v>0</v>
      </c>
      <c r="F132" s="55">
        <f>'X1'!F132</f>
        <v>0.20345617328422622</v>
      </c>
      <c r="G132" s="20">
        <f>'X2'!F132</f>
        <v>0.6</v>
      </c>
      <c r="H132" s="1">
        <f>'X3'!E132</f>
        <v>1</v>
      </c>
      <c r="I132" s="1">
        <f>'X4 dan X5'!D132</f>
        <v>1</v>
      </c>
      <c r="J132" s="1">
        <f>'X4 dan X5'!E132</f>
        <v>0</v>
      </c>
    </row>
    <row r="133" spans="1:13" x14ac:dyDescent="0.35">
      <c r="A133" s="1">
        <v>135</v>
      </c>
      <c r="B133" s="70"/>
      <c r="C133" s="25">
        <v>2020</v>
      </c>
      <c r="D133" s="54">
        <f>'FScore(Y)'!F165</f>
        <v>0.1410796902038487</v>
      </c>
      <c r="E133" s="1">
        <f t="shared" si="4"/>
        <v>0</v>
      </c>
      <c r="F133" s="55">
        <f>'X1'!F133</f>
        <v>0.11307925390256249</v>
      </c>
      <c r="G133" s="20">
        <f>'X2'!F133</f>
        <v>0.6</v>
      </c>
      <c r="H133" s="1">
        <f>'X3'!E133</f>
        <v>0</v>
      </c>
      <c r="I133" s="1">
        <f>'X4 dan X5'!D133</f>
        <v>0</v>
      </c>
      <c r="J133" s="1">
        <f>'X4 dan X5'!E133</f>
        <v>0</v>
      </c>
    </row>
    <row r="134" spans="1:13" x14ac:dyDescent="0.35">
      <c r="A134" s="1">
        <v>136</v>
      </c>
      <c r="B134" s="70"/>
      <c r="C134" s="25">
        <v>2021</v>
      </c>
      <c r="D134" s="54">
        <f>'FScore(Y)'!F166</f>
        <v>-0.1046467303224581</v>
      </c>
      <c r="E134" s="1">
        <f t="shared" si="4"/>
        <v>0</v>
      </c>
      <c r="F134" s="55">
        <f>'X1'!F134</f>
        <v>0.18428028613548023</v>
      </c>
      <c r="G134" s="20">
        <f>'X2'!F134</f>
        <v>0.6</v>
      </c>
      <c r="H134" s="1">
        <f>'X3'!E134</f>
        <v>0</v>
      </c>
      <c r="I134" s="1">
        <f>'X4 dan X5'!D134</f>
        <v>0</v>
      </c>
      <c r="J134" s="1">
        <f>'X4 dan X5'!E134</f>
        <v>0</v>
      </c>
    </row>
    <row r="135" spans="1:13" x14ac:dyDescent="0.35">
      <c r="A135" s="1">
        <v>137</v>
      </c>
      <c r="B135" s="70" t="s">
        <v>91</v>
      </c>
      <c r="C135" s="25">
        <v>2018</v>
      </c>
      <c r="D135" s="54">
        <f>'FScore(Y)'!F168</f>
        <v>0.35372747724723924</v>
      </c>
      <c r="E135" s="1">
        <f t="shared" si="4"/>
        <v>0</v>
      </c>
      <c r="F135" s="55">
        <f>'X1'!F135</f>
        <v>-0.1864432905669052</v>
      </c>
      <c r="G135" s="20">
        <f>'X2'!F135</f>
        <v>0.75</v>
      </c>
      <c r="H135" s="1">
        <f>'X3'!E135</f>
        <v>0</v>
      </c>
      <c r="I135" s="1">
        <f>'X4 dan X5'!D135</f>
        <v>1</v>
      </c>
      <c r="J135" s="1">
        <f>'X4 dan X5'!E135</f>
        <v>0</v>
      </c>
    </row>
    <row r="136" spans="1:13" x14ac:dyDescent="0.35">
      <c r="A136" s="1">
        <v>138</v>
      </c>
      <c r="B136" s="70"/>
      <c r="C136" s="25">
        <v>2019</v>
      </c>
      <c r="D136" s="54">
        <f>'FScore(Y)'!F169</f>
        <v>0.35770262127562469</v>
      </c>
      <c r="E136" s="1">
        <f t="shared" si="4"/>
        <v>0</v>
      </c>
      <c r="F136" s="55">
        <f>'X1'!F136</f>
        <v>0.23573875974528929</v>
      </c>
      <c r="G136" s="20">
        <f>'X2'!F136</f>
        <v>0.66666666666666663</v>
      </c>
      <c r="H136" s="1">
        <f>'X3'!E136</f>
        <v>0</v>
      </c>
      <c r="I136" s="1">
        <f>'X4 dan X5'!D136</f>
        <v>1</v>
      </c>
      <c r="J136" s="1">
        <f>'X4 dan X5'!E136</f>
        <v>0</v>
      </c>
    </row>
    <row r="137" spans="1:13" x14ac:dyDescent="0.35">
      <c r="A137" s="1">
        <v>139</v>
      </c>
      <c r="B137" s="70"/>
      <c r="C137" s="25">
        <v>2020</v>
      </c>
      <c r="D137" s="54">
        <f>'FScore(Y)'!F170</f>
        <v>4.1822649492916766E-2</v>
      </c>
      <c r="E137" s="1">
        <f t="shared" si="4"/>
        <v>0</v>
      </c>
      <c r="F137" s="55">
        <f>'X1'!F137</f>
        <v>-0.12265565143095526</v>
      </c>
      <c r="G137" s="20">
        <f>'X2'!F137</f>
        <v>0.66666666666666663</v>
      </c>
      <c r="H137" s="1">
        <f>'X3'!E137</f>
        <v>0</v>
      </c>
      <c r="I137" s="1">
        <f>'X4 dan X5'!D137</f>
        <v>0</v>
      </c>
      <c r="J137" s="1">
        <f>'X4 dan X5'!E137</f>
        <v>0</v>
      </c>
    </row>
    <row r="138" spans="1:13" x14ac:dyDescent="0.35">
      <c r="A138" s="1">
        <v>140</v>
      </c>
      <c r="B138" s="70"/>
      <c r="C138" s="25">
        <v>2021</v>
      </c>
      <c r="D138" s="54">
        <f>'FScore(Y)'!F171</f>
        <v>1.0659503956379133</v>
      </c>
      <c r="E138" s="1">
        <f t="shared" si="4"/>
        <v>1</v>
      </c>
      <c r="F138" s="55">
        <f>'X1'!F138</f>
        <v>-0.32003826172337896</v>
      </c>
      <c r="G138" s="20">
        <f>'X2'!F138</f>
        <v>0.66666666666666663</v>
      </c>
      <c r="H138" s="1">
        <f>'X3'!E138</f>
        <v>0</v>
      </c>
      <c r="I138" s="1">
        <f>'X4 dan X5'!D138</f>
        <v>0</v>
      </c>
      <c r="J138" s="1">
        <f>'X4 dan X5'!E138</f>
        <v>0</v>
      </c>
    </row>
    <row r="139" spans="1:13" x14ac:dyDescent="0.35">
      <c r="A139" s="1">
        <v>141</v>
      </c>
      <c r="B139" s="70" t="s">
        <v>92</v>
      </c>
      <c r="C139" s="25">
        <v>2018</v>
      </c>
      <c r="D139" s="54">
        <f>'FScore(Y)'!F173</f>
        <v>-7.205724116232555E-2</v>
      </c>
      <c r="E139" s="1">
        <f t="shared" si="4"/>
        <v>0</v>
      </c>
      <c r="F139" s="55">
        <f>'X1'!F139</f>
        <v>0.12881854240116875</v>
      </c>
      <c r="G139" s="20">
        <f>'X2'!F139</f>
        <v>0.625</v>
      </c>
      <c r="H139" s="1">
        <f>'X3'!E139</f>
        <v>0</v>
      </c>
      <c r="I139" s="1">
        <f>'X4 dan X5'!D139</f>
        <v>1</v>
      </c>
      <c r="J139" s="1">
        <f>'X4 dan X5'!E139</f>
        <v>0</v>
      </c>
    </row>
    <row r="140" spans="1:13" x14ac:dyDescent="0.35">
      <c r="A140" s="1">
        <v>142</v>
      </c>
      <c r="B140" s="70"/>
      <c r="C140" s="25">
        <v>2019</v>
      </c>
      <c r="D140" s="54">
        <f>'FScore(Y)'!F174</f>
        <v>6.484730300278374E-2</v>
      </c>
      <c r="E140" s="1">
        <f t="shared" si="4"/>
        <v>0</v>
      </c>
      <c r="F140" s="55">
        <f>'X1'!F140</f>
        <v>4.1041446169229091E-2</v>
      </c>
      <c r="G140" s="20">
        <f>'X2'!F140</f>
        <v>0.66666666666666663</v>
      </c>
      <c r="H140" s="1">
        <f>'X3'!E140</f>
        <v>0</v>
      </c>
      <c r="I140" s="1">
        <f>'X4 dan X5'!D140</f>
        <v>1</v>
      </c>
      <c r="J140" s="1">
        <f>'X4 dan X5'!E140</f>
        <v>0</v>
      </c>
    </row>
    <row r="141" spans="1:13" x14ac:dyDescent="0.35">
      <c r="A141" s="1">
        <v>143</v>
      </c>
      <c r="B141" s="70"/>
      <c r="C141" s="25">
        <v>2020</v>
      </c>
      <c r="D141" s="54">
        <f>'FScore(Y)'!F175</f>
        <v>-9.3308004886707707E-3</v>
      </c>
      <c r="E141" s="1">
        <f t="shared" si="4"/>
        <v>0</v>
      </c>
      <c r="F141" s="55">
        <f>'X1'!F141</f>
        <v>0.1416116411702443</v>
      </c>
      <c r="G141" s="20">
        <f>'X2'!F141</f>
        <v>0.625</v>
      </c>
      <c r="H141" s="1">
        <f>'X3'!E141</f>
        <v>0</v>
      </c>
      <c r="I141" s="1">
        <f>'X4 dan X5'!D141</f>
        <v>1</v>
      </c>
      <c r="J141" s="1">
        <f>'X4 dan X5'!E141</f>
        <v>0</v>
      </c>
    </row>
    <row r="142" spans="1:13" x14ac:dyDescent="0.35">
      <c r="A142" s="1">
        <v>144</v>
      </c>
      <c r="B142" s="70"/>
      <c r="C142" s="25">
        <v>2021</v>
      </c>
      <c r="D142" s="54">
        <f>'FScore(Y)'!F176</f>
        <v>3.9852354739116365E-2</v>
      </c>
      <c r="E142" s="1">
        <f t="shared" si="4"/>
        <v>0</v>
      </c>
      <c r="F142" s="55">
        <f>'X1'!F142</f>
        <v>3.9256024803051133E-2</v>
      </c>
      <c r="G142" s="20">
        <f>'X2'!F142</f>
        <v>0.625</v>
      </c>
      <c r="H142" s="1">
        <f>'X3'!E142</f>
        <v>0</v>
      </c>
      <c r="I142" s="1">
        <f>'X4 dan X5'!D142</f>
        <v>0</v>
      </c>
      <c r="J142" s="1">
        <f>'X4 dan X5'!E142</f>
        <v>0</v>
      </c>
    </row>
    <row r="143" spans="1:13" x14ac:dyDescent="0.35">
      <c r="D143" s="47"/>
      <c r="M143">
        <f>SUMIF(E3:E142,1)</f>
        <v>8</v>
      </c>
    </row>
    <row r="144" spans="1:13" x14ac:dyDescent="0.35">
      <c r="D144" s="47"/>
    </row>
    <row r="145" spans="4:4" x14ac:dyDescent="0.35">
      <c r="D145" s="47"/>
    </row>
  </sheetData>
  <mergeCells count="35">
    <mergeCell ref="B23:B26"/>
    <mergeCell ref="B3:B6"/>
    <mergeCell ref="B7:B10"/>
    <mergeCell ref="B11:B14"/>
    <mergeCell ref="B15:B18"/>
    <mergeCell ref="B19:B22"/>
    <mergeCell ref="B71:B74"/>
    <mergeCell ref="B27:B30"/>
    <mergeCell ref="B31:B34"/>
    <mergeCell ref="B35:B38"/>
    <mergeCell ref="B39:B42"/>
    <mergeCell ref="B43:B46"/>
    <mergeCell ref="B47:B50"/>
    <mergeCell ref="B51:B54"/>
    <mergeCell ref="B55:B58"/>
    <mergeCell ref="B59:B62"/>
    <mergeCell ref="B63:B66"/>
    <mergeCell ref="B67:B70"/>
    <mergeCell ref="B119:B122"/>
    <mergeCell ref="B75:B78"/>
    <mergeCell ref="B79:B82"/>
    <mergeCell ref="B83:B86"/>
    <mergeCell ref="B87:B90"/>
    <mergeCell ref="B91:B94"/>
    <mergeCell ref="B95:B98"/>
    <mergeCell ref="B99:B102"/>
    <mergeCell ref="B103:B106"/>
    <mergeCell ref="B107:B110"/>
    <mergeCell ref="B111:B114"/>
    <mergeCell ref="B115:B118"/>
    <mergeCell ref="B123:B126"/>
    <mergeCell ref="B127:B130"/>
    <mergeCell ref="B131:B134"/>
    <mergeCell ref="B135:B138"/>
    <mergeCell ref="B139:B142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75834-12C6-43FA-B0C4-4C1AFFAF53A8}">
  <dimension ref="A1:AQ149"/>
  <sheetViews>
    <sheetView zoomScale="60" workbookViewId="0">
      <selection activeCell="H3" sqref="H3"/>
    </sheetView>
  </sheetViews>
  <sheetFormatPr defaultRowHeight="14.5" x14ac:dyDescent="0.35"/>
  <cols>
    <col min="1" max="1" width="14.08984375" bestFit="1" customWidth="1"/>
    <col min="3" max="3" width="10" customWidth="1"/>
    <col min="5" max="5" width="16.54296875" bestFit="1" customWidth="1"/>
    <col min="6" max="6" width="15.90625" bestFit="1" customWidth="1"/>
    <col min="7" max="7" width="14.90625" bestFit="1" customWidth="1"/>
    <col min="22" max="22" width="10.54296875" bestFit="1" customWidth="1"/>
    <col min="25" max="25" width="12.453125" bestFit="1" customWidth="1"/>
  </cols>
  <sheetData>
    <row r="1" spans="1:43" x14ac:dyDescent="0.35">
      <c r="A1" s="71" t="s">
        <v>64</v>
      </c>
      <c r="B1" s="71" t="s">
        <v>65</v>
      </c>
      <c r="C1" s="1" t="s">
        <v>66</v>
      </c>
      <c r="D1" s="1" t="s">
        <v>68</v>
      </c>
      <c r="E1" s="1" t="s">
        <v>77</v>
      </c>
      <c r="F1" s="1" t="s">
        <v>70</v>
      </c>
      <c r="G1" s="1" t="s">
        <v>71</v>
      </c>
      <c r="H1" s="1" t="s">
        <v>72</v>
      </c>
      <c r="J1" s="46" t="s">
        <v>94</v>
      </c>
      <c r="V1" s="72" t="s">
        <v>97</v>
      </c>
      <c r="W1" s="72"/>
      <c r="X1" s="72"/>
      <c r="Y1" s="72" t="s">
        <v>98</v>
      </c>
      <c r="Z1" s="72"/>
      <c r="AA1" s="72"/>
      <c r="AB1" s="72" t="s">
        <v>99</v>
      </c>
      <c r="AC1" s="72"/>
      <c r="AD1" s="72"/>
      <c r="AE1" s="72" t="s">
        <v>100</v>
      </c>
      <c r="AF1" s="72"/>
      <c r="AG1" s="72"/>
      <c r="AH1" s="72" t="s">
        <v>101</v>
      </c>
      <c r="AI1" s="72"/>
      <c r="AJ1" s="72"/>
      <c r="AK1" s="72" t="s">
        <v>102</v>
      </c>
      <c r="AL1" s="72"/>
      <c r="AM1" s="72"/>
      <c r="AO1" t="s">
        <v>106</v>
      </c>
    </row>
    <row r="2" spans="1:43" x14ac:dyDescent="0.35">
      <c r="A2" s="71"/>
      <c r="B2" s="71"/>
      <c r="C2" s="1" t="s">
        <v>67</v>
      </c>
      <c r="D2" s="1" t="s">
        <v>69</v>
      </c>
      <c r="E2" s="1" t="s">
        <v>73</v>
      </c>
      <c r="F2" s="1" t="s">
        <v>74</v>
      </c>
      <c r="G2" s="1" t="s">
        <v>75</v>
      </c>
      <c r="H2" s="1" t="s">
        <v>144</v>
      </c>
      <c r="J2" s="46" t="s">
        <v>76</v>
      </c>
      <c r="L2" s="9"/>
      <c r="M2" s="1" t="s">
        <v>67</v>
      </c>
      <c r="N2" s="1" t="s">
        <v>69</v>
      </c>
      <c r="O2" s="1" t="s">
        <v>73</v>
      </c>
      <c r="P2" s="1" t="s">
        <v>74</v>
      </c>
      <c r="Q2" s="1" t="s">
        <v>75</v>
      </c>
      <c r="R2" s="1" t="s">
        <v>76</v>
      </c>
      <c r="S2" s="47"/>
      <c r="T2" s="47" t="s">
        <v>107</v>
      </c>
      <c r="V2" s="1" t="s">
        <v>103</v>
      </c>
      <c r="W2" s="1" t="s">
        <v>104</v>
      </c>
      <c r="X2" s="1" t="s">
        <v>105</v>
      </c>
      <c r="Y2" s="1" t="s">
        <v>103</v>
      </c>
      <c r="Z2" s="1" t="s">
        <v>104</v>
      </c>
      <c r="AA2" s="1" t="s">
        <v>105</v>
      </c>
      <c r="AB2" s="1" t="s">
        <v>103</v>
      </c>
      <c r="AC2" s="1" t="s">
        <v>104</v>
      </c>
      <c r="AD2" s="1" t="s">
        <v>105</v>
      </c>
      <c r="AE2" s="1" t="s">
        <v>103</v>
      </c>
      <c r="AF2" s="1" t="s">
        <v>104</v>
      </c>
      <c r="AG2" s="1" t="s">
        <v>105</v>
      </c>
      <c r="AH2" s="1" t="s">
        <v>103</v>
      </c>
      <c r="AI2" s="1" t="s">
        <v>104</v>
      </c>
      <c r="AJ2" s="1" t="s">
        <v>105</v>
      </c>
      <c r="AK2" s="1" t="s">
        <v>103</v>
      </c>
      <c r="AL2" s="1" t="s">
        <v>104</v>
      </c>
      <c r="AM2" s="1" t="s">
        <v>105</v>
      </c>
    </row>
    <row r="3" spans="1:43" ht="15.5" customHeight="1" x14ac:dyDescent="0.35">
      <c r="A3" s="70" t="s">
        <v>3</v>
      </c>
      <c r="B3" s="1">
        <v>2018</v>
      </c>
      <c r="C3" s="24">
        <v>7.2473835952560864E-2</v>
      </c>
      <c r="D3" s="20">
        <v>0.66666666666666663</v>
      </c>
      <c r="E3" s="25">
        <v>0</v>
      </c>
      <c r="F3" s="1">
        <v>1</v>
      </c>
      <c r="G3" s="1">
        <v>1</v>
      </c>
      <c r="H3" s="45">
        <f>IF(J3&lt;1,0,1)</f>
        <v>0</v>
      </c>
      <c r="J3" s="54">
        <v>-0.19840292976581952</v>
      </c>
      <c r="L3" s="9" t="s">
        <v>95</v>
      </c>
      <c r="M3" s="24">
        <f t="shared" ref="M3:R3" si="0">AVERAGE(C3:C142)</f>
        <v>4.9172475405130103E-2</v>
      </c>
      <c r="N3" s="24">
        <f t="shared" si="0"/>
        <v>0.52466269841269808</v>
      </c>
      <c r="O3" s="24">
        <f t="shared" si="0"/>
        <v>0.12142857142857143</v>
      </c>
      <c r="P3" s="24">
        <f t="shared" si="0"/>
        <v>0.66428571428571426</v>
      </c>
      <c r="Q3" s="24">
        <f t="shared" si="0"/>
        <v>0.37142857142857144</v>
      </c>
      <c r="R3" s="24">
        <f t="shared" si="0"/>
        <v>2.8571428571428571E-2</v>
      </c>
      <c r="S3" s="48"/>
      <c r="T3" s="48">
        <f>AVERAGE(J3:J142)</f>
        <v>9.333019655832512E-5</v>
      </c>
      <c r="V3" s="24">
        <f t="shared" ref="V3:V34" si="1">STANDARDIZE(H3,$R$3,$R$4)</f>
        <v>-0.17088499253085071</v>
      </c>
      <c r="W3" s="9">
        <f>ABS(V3)</f>
        <v>0.17088499253085071</v>
      </c>
      <c r="X3" s="9" t="str">
        <f>IF(W3&gt;3,"outlier","tidak")</f>
        <v>tidak</v>
      </c>
      <c r="Y3" s="9">
        <f>STANDARDIZE(C3,$M$3,$M$4)</f>
        <v>0.11945306163427225</v>
      </c>
      <c r="Z3" s="9">
        <f>ABS(Y3)</f>
        <v>0.11945306163427225</v>
      </c>
      <c r="AA3" s="9" t="str">
        <f>IF(Z3&gt;3,"outlier","tidak")</f>
        <v>tidak</v>
      </c>
      <c r="AB3" s="9">
        <f>STANDARDIZE(D3,$N$3,$N$4)</f>
        <v>1.1862211625563868</v>
      </c>
      <c r="AC3" s="9">
        <f>ABS(AB3)</f>
        <v>1.1862211625563868</v>
      </c>
      <c r="AD3" s="9" t="str">
        <f>IF(AC3&gt;3,"outlier","tidak")</f>
        <v>tidak</v>
      </c>
      <c r="AE3" s="9">
        <f>STANDARDIZE(E3,$O$3,$O$4)</f>
        <v>-0.37043779228888796</v>
      </c>
      <c r="AF3" s="9">
        <f>ABS(AE3)</f>
        <v>0.37043779228888796</v>
      </c>
      <c r="AG3" s="9" t="str">
        <f>IF(AF3&gt;3,"outlier","tidak")</f>
        <v>tidak</v>
      </c>
      <c r="AH3" s="9">
        <f>STANDARDIZE(F3,$P$3,$P$4)</f>
        <v>0.7083547932052382</v>
      </c>
      <c r="AI3" s="9">
        <f>ABS(AH3)</f>
        <v>0.7083547932052382</v>
      </c>
      <c r="AJ3" s="9" t="str">
        <f>IF(AI3&gt;3,"outlier","tidak")</f>
        <v>tidak</v>
      </c>
      <c r="AK3" s="9">
        <f>STANDARDIZE(G3,$Q$3,$Q$4)</f>
        <v>1.2962329189693418</v>
      </c>
      <c r="AL3" s="9">
        <f>ABS(AK3)</f>
        <v>1.2962329189693418</v>
      </c>
      <c r="AM3" s="9" t="str">
        <f>IF(AL3&gt;3,"outlier","tidak")</f>
        <v>tidak</v>
      </c>
      <c r="AO3" s="9">
        <f>STANDARDIZE(J3,$T$3,$T$4)</f>
        <v>-0.50226691834327408</v>
      </c>
      <c r="AP3" s="9">
        <f>ABS(AO3)</f>
        <v>0.50226691834327408</v>
      </c>
      <c r="AQ3" s="9" t="str">
        <f>IF(AP3&gt;3,"outlier","tidak")</f>
        <v>tidak</v>
      </c>
    </row>
    <row r="4" spans="1:43" ht="15.5" customHeight="1" x14ac:dyDescent="0.35">
      <c r="A4" s="70"/>
      <c r="B4" s="1">
        <v>2019</v>
      </c>
      <c r="C4" s="24">
        <v>-6.4311201308550989E-2</v>
      </c>
      <c r="D4" s="20">
        <v>0.5</v>
      </c>
      <c r="E4" s="25">
        <v>1</v>
      </c>
      <c r="F4" s="1">
        <v>1</v>
      </c>
      <c r="G4" s="1">
        <v>0</v>
      </c>
      <c r="H4" s="45">
        <f t="shared" ref="H4:H67" si="2">IF(J4&lt;1,0,1)</f>
        <v>0</v>
      </c>
      <c r="J4" s="54">
        <v>-2.1812377723355054E-2</v>
      </c>
      <c r="L4" s="9" t="s">
        <v>96</v>
      </c>
      <c r="M4" s="9">
        <f t="shared" ref="M4:R4" si="3">_xlfn.STDEV.S(C3:C142)</f>
        <v>0.19506708516833338</v>
      </c>
      <c r="N4" s="9">
        <f t="shared" si="3"/>
        <v>0.11971120794029706</v>
      </c>
      <c r="O4" s="9">
        <f t="shared" si="3"/>
        <v>0.32779747087433964</v>
      </c>
      <c r="P4" s="9">
        <f t="shared" si="3"/>
        <v>0.47393522135314492</v>
      </c>
      <c r="Q4" s="9">
        <f t="shared" si="3"/>
        <v>0.48492166752809907</v>
      </c>
      <c r="R4" s="9">
        <f t="shared" si="3"/>
        <v>0.1671968272244295</v>
      </c>
      <c r="T4" s="9">
        <f>_xlfn.STDEV.S(J3:J142)</f>
        <v>0.39520074429173468</v>
      </c>
      <c r="V4" s="24">
        <f t="shared" si="1"/>
        <v>-0.17088499253085071</v>
      </c>
      <c r="W4" s="9">
        <f t="shared" ref="W4:W67" si="4">ABS(V4)</f>
        <v>0.17088499253085071</v>
      </c>
      <c r="X4" s="9" t="str">
        <f t="shared" ref="X4:X67" si="5">IF(W4&gt;3,"outlier","tidak")</f>
        <v>tidak</v>
      </c>
      <c r="Y4" s="9">
        <f t="shared" ref="Y4:Y67" si="6">STANDARDIZE(C4,$M$3,$M$4)</f>
        <v>-0.58176742947560944</v>
      </c>
      <c r="Z4" s="9">
        <f t="shared" ref="Z4:Z67" si="7">ABS(Y4)</f>
        <v>0.58176742947560944</v>
      </c>
      <c r="AA4" s="9" t="str">
        <f t="shared" ref="AA4:AA67" si="8">IF(Z4&gt;3,"outlier","tidak")</f>
        <v>tidak</v>
      </c>
      <c r="AB4" s="9">
        <f t="shared" ref="AB4:AB67" si="9">STANDARDIZE(D4,$N$3,$N$4)</f>
        <v>-0.20601829049288331</v>
      </c>
      <c r="AC4" s="9">
        <f t="shared" ref="AC4:AC67" si="10">ABS(AB4)</f>
        <v>0.20601829049288331</v>
      </c>
      <c r="AD4" s="9" t="str">
        <f t="shared" ref="AD4:AD67" si="11">IF(AC4&gt;3,"outlier","tidak")</f>
        <v>tidak</v>
      </c>
      <c r="AE4" s="9">
        <f t="shared" ref="AE4:AE67" si="12">STANDARDIZE(E4,$O$3,$O$4)</f>
        <v>2.6802263795019541</v>
      </c>
      <c r="AF4" s="9">
        <f t="shared" ref="AF4:AF67" si="13">ABS(AE4)</f>
        <v>2.6802263795019541</v>
      </c>
      <c r="AG4" s="9" t="str">
        <f t="shared" ref="AG4:AG67" si="14">IF(AF4&gt;3,"outlier","tidak")</f>
        <v>tidak</v>
      </c>
      <c r="AH4" s="9">
        <f t="shared" ref="AH4:AH67" si="15">STANDARDIZE(F4,$P$3,$P$4)</f>
        <v>0.7083547932052382</v>
      </c>
      <c r="AI4" s="9">
        <f t="shared" ref="AI4:AI67" si="16">ABS(AH4)</f>
        <v>0.7083547932052382</v>
      </c>
      <c r="AJ4" s="9" t="str">
        <f t="shared" ref="AJ4:AJ67" si="17">IF(AI4&gt;3,"outlier","tidak")</f>
        <v>tidak</v>
      </c>
      <c r="AK4" s="9">
        <f t="shared" ref="AK4:AK67" si="18">STANDARDIZE(G4,$Q$3,$Q$4)</f>
        <v>-0.76595581575461114</v>
      </c>
      <c r="AL4" s="9">
        <f t="shared" ref="AL4:AL67" si="19">ABS(AK4)</f>
        <v>0.76595581575461114</v>
      </c>
      <c r="AM4" s="9" t="str">
        <f t="shared" ref="AM4:AM67" si="20">IF(AL4&gt;3,"outlier","tidak")</f>
        <v>tidak</v>
      </c>
      <c r="AO4" s="9">
        <f t="shared" ref="AO4:AO67" si="21">STANDARDIZE(J4,$T$3,$T$4)</f>
        <v>-5.5429318482615821E-2</v>
      </c>
      <c r="AP4" s="9">
        <f t="shared" ref="AP4:AP67" si="22">ABS(AO4)</f>
        <v>5.5429318482615821E-2</v>
      </c>
      <c r="AQ4" s="9" t="str">
        <f t="shared" ref="AQ4:AQ67" si="23">IF(AP4&gt;3,"outlier","tidak")</f>
        <v>tidak</v>
      </c>
    </row>
    <row r="5" spans="1:43" ht="15.5" customHeight="1" x14ac:dyDescent="0.35">
      <c r="A5" s="70"/>
      <c r="B5" s="1">
        <v>2020</v>
      </c>
      <c r="C5" s="24">
        <v>-0.1829614606789437</v>
      </c>
      <c r="D5" s="20">
        <v>0.5</v>
      </c>
      <c r="E5" s="25">
        <v>0</v>
      </c>
      <c r="F5" s="1">
        <v>1</v>
      </c>
      <c r="G5" s="1">
        <v>0</v>
      </c>
      <c r="H5" s="45">
        <f t="shared" si="2"/>
        <v>0</v>
      </c>
      <c r="J5" s="54">
        <v>-0.24739534257478288</v>
      </c>
      <c r="V5" s="24">
        <f t="shared" si="1"/>
        <v>-0.17088499253085071</v>
      </c>
      <c r="W5" s="9">
        <f t="shared" si="4"/>
        <v>0.17088499253085071</v>
      </c>
      <c r="X5" s="9" t="str">
        <f>IF(W5&gt;3,"outlier","tidak")</f>
        <v>tidak</v>
      </c>
      <c r="Y5" s="9">
        <f t="shared" si="6"/>
        <v>-1.1900210426774642</v>
      </c>
      <c r="Z5" s="9">
        <f t="shared" si="7"/>
        <v>1.1900210426774642</v>
      </c>
      <c r="AA5" s="9" t="str">
        <f t="shared" si="8"/>
        <v>tidak</v>
      </c>
      <c r="AB5" s="9">
        <f t="shared" si="9"/>
        <v>-0.20601829049288331</v>
      </c>
      <c r="AC5" s="9">
        <f t="shared" si="10"/>
        <v>0.20601829049288331</v>
      </c>
      <c r="AD5" s="9" t="str">
        <f t="shared" si="11"/>
        <v>tidak</v>
      </c>
      <c r="AE5" s="9">
        <f t="shared" si="12"/>
        <v>-0.37043779228888796</v>
      </c>
      <c r="AF5" s="9">
        <f t="shared" si="13"/>
        <v>0.37043779228888796</v>
      </c>
      <c r="AG5" s="9" t="str">
        <f t="shared" si="14"/>
        <v>tidak</v>
      </c>
      <c r="AH5" s="9">
        <f t="shared" si="15"/>
        <v>0.7083547932052382</v>
      </c>
      <c r="AI5" s="9">
        <f t="shared" si="16"/>
        <v>0.7083547932052382</v>
      </c>
      <c r="AJ5" s="9" t="str">
        <f t="shared" si="17"/>
        <v>tidak</v>
      </c>
      <c r="AK5" s="9">
        <f t="shared" si="18"/>
        <v>-0.76595581575461114</v>
      </c>
      <c r="AL5" s="9">
        <f t="shared" si="19"/>
        <v>0.76595581575461114</v>
      </c>
      <c r="AM5" s="9" t="str">
        <f t="shared" si="20"/>
        <v>tidak</v>
      </c>
      <c r="AO5" s="9">
        <f t="shared" si="21"/>
        <v>-0.62623534076303922</v>
      </c>
      <c r="AP5" s="9">
        <f t="shared" si="22"/>
        <v>0.62623534076303922</v>
      </c>
      <c r="AQ5" s="9" t="str">
        <f t="shared" si="23"/>
        <v>tidak</v>
      </c>
    </row>
    <row r="6" spans="1:43" ht="15.5" customHeight="1" x14ac:dyDescent="0.35">
      <c r="A6" s="70"/>
      <c r="B6" s="1">
        <v>2021</v>
      </c>
      <c r="C6" s="24">
        <v>0.44315016527119966</v>
      </c>
      <c r="D6" s="20">
        <v>0.5</v>
      </c>
      <c r="E6" s="25">
        <v>0</v>
      </c>
      <c r="F6" s="1">
        <v>0</v>
      </c>
      <c r="G6" s="1">
        <v>0</v>
      </c>
      <c r="H6" s="45">
        <f t="shared" si="2"/>
        <v>0</v>
      </c>
      <c r="J6" s="54">
        <v>3.8423968402472558E-2</v>
      </c>
      <c r="L6" t="s">
        <v>106</v>
      </c>
      <c r="V6" s="24">
        <f t="shared" si="1"/>
        <v>-0.17088499253085071</v>
      </c>
      <c r="W6" s="9">
        <f t="shared" si="4"/>
        <v>0.17088499253085071</v>
      </c>
      <c r="X6" s="9" t="str">
        <f t="shared" si="5"/>
        <v>tidak</v>
      </c>
      <c r="Y6" s="9">
        <f t="shared" si="6"/>
        <v>2.0197035780079764</v>
      </c>
      <c r="Z6" s="9">
        <f t="shared" si="7"/>
        <v>2.0197035780079764</v>
      </c>
      <c r="AA6" s="9" t="str">
        <f t="shared" si="8"/>
        <v>tidak</v>
      </c>
      <c r="AB6" s="9">
        <f t="shared" si="9"/>
        <v>-0.20601829049288331</v>
      </c>
      <c r="AC6" s="9">
        <f t="shared" si="10"/>
        <v>0.20601829049288331</v>
      </c>
      <c r="AD6" s="9" t="str">
        <f t="shared" si="11"/>
        <v>tidak</v>
      </c>
      <c r="AE6" s="9">
        <f t="shared" si="12"/>
        <v>-0.37043779228888796</v>
      </c>
      <c r="AF6" s="9">
        <f t="shared" si="13"/>
        <v>0.37043779228888796</v>
      </c>
      <c r="AG6" s="9" t="str">
        <f t="shared" si="14"/>
        <v>tidak</v>
      </c>
      <c r="AH6" s="9">
        <f t="shared" si="15"/>
        <v>-1.4016382078316414</v>
      </c>
      <c r="AI6" s="9">
        <f t="shared" si="16"/>
        <v>1.4016382078316414</v>
      </c>
      <c r="AJ6" s="9" t="str">
        <f t="shared" si="17"/>
        <v>tidak</v>
      </c>
      <c r="AK6" s="9">
        <f t="shared" si="18"/>
        <v>-0.76595581575461114</v>
      </c>
      <c r="AL6" s="9">
        <f t="shared" si="19"/>
        <v>0.76595581575461114</v>
      </c>
      <c r="AM6" s="9" t="str">
        <f t="shared" si="20"/>
        <v>tidak</v>
      </c>
      <c r="AO6" s="9">
        <f t="shared" si="21"/>
        <v>9.6990298625598728E-2</v>
      </c>
      <c r="AP6" s="9">
        <f t="shared" si="22"/>
        <v>9.6990298625598728E-2</v>
      </c>
      <c r="AQ6" s="9" t="str">
        <f t="shared" si="23"/>
        <v>tidak</v>
      </c>
    </row>
    <row r="7" spans="1:43" x14ac:dyDescent="0.35">
      <c r="A7" s="71" t="s">
        <v>4</v>
      </c>
      <c r="B7" s="1">
        <v>2018</v>
      </c>
      <c r="C7" s="24">
        <v>0.12973504725588977</v>
      </c>
      <c r="D7" s="20">
        <v>0.75</v>
      </c>
      <c r="E7" s="25">
        <v>0</v>
      </c>
      <c r="F7" s="1">
        <v>1</v>
      </c>
      <c r="G7" s="1">
        <v>0</v>
      </c>
      <c r="H7" s="45">
        <f t="shared" si="2"/>
        <v>0</v>
      </c>
      <c r="J7" s="54">
        <v>-5.6450862734814256E-2</v>
      </c>
      <c r="V7" s="24">
        <f t="shared" si="1"/>
        <v>-0.17088499253085071</v>
      </c>
      <c r="W7" s="9">
        <f t="shared" si="4"/>
        <v>0.17088499253085071</v>
      </c>
      <c r="X7" s="9" t="str">
        <f t="shared" si="5"/>
        <v>tidak</v>
      </c>
      <c r="Y7" s="9">
        <f t="shared" si="6"/>
        <v>0.41299931139709245</v>
      </c>
      <c r="Z7" s="9">
        <f t="shared" si="7"/>
        <v>0.41299931139709245</v>
      </c>
      <c r="AA7" s="9" t="str">
        <f t="shared" si="8"/>
        <v>tidak</v>
      </c>
      <c r="AB7" s="9">
        <f t="shared" si="9"/>
        <v>1.8823408890810225</v>
      </c>
      <c r="AC7" s="9">
        <f t="shared" si="10"/>
        <v>1.8823408890810225</v>
      </c>
      <c r="AD7" s="9" t="str">
        <f t="shared" si="11"/>
        <v>tidak</v>
      </c>
      <c r="AE7" s="9">
        <f t="shared" si="12"/>
        <v>-0.37043779228888796</v>
      </c>
      <c r="AF7" s="9">
        <f t="shared" si="13"/>
        <v>0.37043779228888796</v>
      </c>
      <c r="AG7" s="9" t="str">
        <f t="shared" si="14"/>
        <v>tidak</v>
      </c>
      <c r="AH7" s="9">
        <f t="shared" si="15"/>
        <v>0.7083547932052382</v>
      </c>
      <c r="AI7" s="9">
        <f t="shared" si="16"/>
        <v>0.7083547932052382</v>
      </c>
      <c r="AJ7" s="9" t="str">
        <f t="shared" si="17"/>
        <v>tidak</v>
      </c>
      <c r="AK7" s="9">
        <f t="shared" si="18"/>
        <v>-0.76595581575461114</v>
      </c>
      <c r="AL7" s="9">
        <f t="shared" si="19"/>
        <v>0.76595581575461114</v>
      </c>
      <c r="AM7" s="9" t="str">
        <f t="shared" si="20"/>
        <v>tidak</v>
      </c>
      <c r="AO7" s="9">
        <f t="shared" si="21"/>
        <v>-0.14307714180222297</v>
      </c>
      <c r="AP7" s="9">
        <f t="shared" si="22"/>
        <v>0.14307714180222297</v>
      </c>
      <c r="AQ7" s="9" t="str">
        <f t="shared" si="23"/>
        <v>tidak</v>
      </c>
    </row>
    <row r="8" spans="1:43" x14ac:dyDescent="0.35">
      <c r="A8" s="71"/>
      <c r="B8" s="1">
        <v>2019</v>
      </c>
      <c r="C8" s="24">
        <v>6.0017552426410974E-3</v>
      </c>
      <c r="D8" s="20">
        <v>0.75</v>
      </c>
      <c r="E8" s="25">
        <v>0</v>
      </c>
      <c r="F8" s="1">
        <v>0</v>
      </c>
      <c r="G8" s="1">
        <v>0</v>
      </c>
      <c r="H8" s="45">
        <f t="shared" si="2"/>
        <v>0</v>
      </c>
      <c r="J8" s="54">
        <v>8.4670737913989047E-2</v>
      </c>
      <c r="V8" s="24">
        <f t="shared" si="1"/>
        <v>-0.17088499253085071</v>
      </c>
      <c r="W8" s="9">
        <f t="shared" si="4"/>
        <v>0.17088499253085071</v>
      </c>
      <c r="X8" s="9" t="str">
        <f t="shared" si="5"/>
        <v>tidak</v>
      </c>
      <c r="Y8" s="9">
        <f t="shared" si="6"/>
        <v>-0.22131217127294839</v>
      </c>
      <c r="Z8" s="9">
        <f t="shared" si="7"/>
        <v>0.22131217127294839</v>
      </c>
      <c r="AA8" s="9" t="str">
        <f t="shared" si="8"/>
        <v>tidak</v>
      </c>
      <c r="AB8" s="9">
        <f t="shared" si="9"/>
        <v>1.8823408890810225</v>
      </c>
      <c r="AC8" s="9">
        <f t="shared" si="10"/>
        <v>1.8823408890810225</v>
      </c>
      <c r="AD8" s="9" t="str">
        <f t="shared" si="11"/>
        <v>tidak</v>
      </c>
      <c r="AE8" s="9">
        <f t="shared" si="12"/>
        <v>-0.37043779228888796</v>
      </c>
      <c r="AF8" s="9">
        <f t="shared" si="13"/>
        <v>0.37043779228888796</v>
      </c>
      <c r="AG8" s="9" t="str">
        <f t="shared" si="14"/>
        <v>tidak</v>
      </c>
      <c r="AH8" s="9">
        <f t="shared" si="15"/>
        <v>-1.4016382078316414</v>
      </c>
      <c r="AI8" s="9">
        <f t="shared" si="16"/>
        <v>1.4016382078316414</v>
      </c>
      <c r="AJ8" s="9" t="str">
        <f t="shared" si="17"/>
        <v>tidak</v>
      </c>
      <c r="AK8" s="9">
        <f t="shared" si="18"/>
        <v>-0.76595581575461114</v>
      </c>
      <c r="AL8" s="9">
        <f t="shared" si="19"/>
        <v>0.76595581575461114</v>
      </c>
      <c r="AM8" s="9" t="str">
        <f t="shared" si="20"/>
        <v>tidak</v>
      </c>
      <c r="AO8" s="9">
        <f t="shared" si="21"/>
        <v>0.2140112561503584</v>
      </c>
      <c r="AP8" s="9">
        <f t="shared" si="22"/>
        <v>0.2140112561503584</v>
      </c>
      <c r="AQ8" s="9" t="str">
        <f t="shared" si="23"/>
        <v>tidak</v>
      </c>
    </row>
    <row r="9" spans="1:43" x14ac:dyDescent="0.35">
      <c r="A9" s="71"/>
      <c r="B9" s="1">
        <v>2020</v>
      </c>
      <c r="C9" s="24">
        <v>1.5685639055726487E-2</v>
      </c>
      <c r="D9" s="20">
        <v>0.66666666666666663</v>
      </c>
      <c r="E9" s="25">
        <v>1</v>
      </c>
      <c r="F9" s="1">
        <v>1</v>
      </c>
      <c r="G9" s="1">
        <v>1</v>
      </c>
      <c r="H9" s="45">
        <f t="shared" si="2"/>
        <v>0</v>
      </c>
      <c r="J9" s="54">
        <v>-0.68864257060086598</v>
      </c>
      <c r="V9" s="24">
        <f t="shared" si="1"/>
        <v>-0.17088499253085071</v>
      </c>
      <c r="W9" s="9">
        <f t="shared" si="4"/>
        <v>0.17088499253085071</v>
      </c>
      <c r="X9" s="9" t="str">
        <f t="shared" si="5"/>
        <v>tidak</v>
      </c>
      <c r="Y9" s="9">
        <f t="shared" si="6"/>
        <v>-0.17166830744667205</v>
      </c>
      <c r="Z9" s="9">
        <f t="shared" si="7"/>
        <v>0.17166830744667205</v>
      </c>
      <c r="AA9" s="9" t="str">
        <f t="shared" si="8"/>
        <v>tidak</v>
      </c>
      <c r="AB9" s="9">
        <f t="shared" si="9"/>
        <v>1.1862211625563868</v>
      </c>
      <c r="AC9" s="9">
        <f t="shared" si="10"/>
        <v>1.1862211625563868</v>
      </c>
      <c r="AD9" s="9" t="str">
        <f t="shared" si="11"/>
        <v>tidak</v>
      </c>
      <c r="AE9" s="9">
        <f t="shared" si="12"/>
        <v>2.6802263795019541</v>
      </c>
      <c r="AF9" s="9">
        <f t="shared" si="13"/>
        <v>2.6802263795019541</v>
      </c>
      <c r="AG9" s="9" t="str">
        <f t="shared" si="14"/>
        <v>tidak</v>
      </c>
      <c r="AH9" s="9">
        <f t="shared" si="15"/>
        <v>0.7083547932052382</v>
      </c>
      <c r="AI9" s="9">
        <f t="shared" si="16"/>
        <v>0.7083547932052382</v>
      </c>
      <c r="AJ9" s="9" t="str">
        <f t="shared" si="17"/>
        <v>tidak</v>
      </c>
      <c r="AK9" s="9">
        <f t="shared" si="18"/>
        <v>1.2962329189693418</v>
      </c>
      <c r="AL9" s="9">
        <f t="shared" si="19"/>
        <v>1.2962329189693418</v>
      </c>
      <c r="AM9" s="9" t="str">
        <f t="shared" si="20"/>
        <v>tidak</v>
      </c>
      <c r="AO9" s="9">
        <f t="shared" si="21"/>
        <v>-1.7427495032474023</v>
      </c>
      <c r="AP9" s="9">
        <f t="shared" si="22"/>
        <v>1.7427495032474023</v>
      </c>
      <c r="AQ9" s="9" t="str">
        <f t="shared" si="23"/>
        <v>tidak</v>
      </c>
    </row>
    <row r="10" spans="1:43" x14ac:dyDescent="0.35">
      <c r="A10" s="71"/>
      <c r="B10" s="1">
        <v>2021</v>
      </c>
      <c r="C10" s="24">
        <v>-9.9921832581488183E-3</v>
      </c>
      <c r="D10" s="20">
        <v>0.66666666666666663</v>
      </c>
      <c r="E10" s="25">
        <v>1</v>
      </c>
      <c r="F10" s="1">
        <v>1</v>
      </c>
      <c r="G10" s="1">
        <v>0</v>
      </c>
      <c r="H10" s="45">
        <f t="shared" si="2"/>
        <v>1</v>
      </c>
      <c r="J10" s="54">
        <v>1.7048387672324319</v>
      </c>
      <c r="V10" s="24">
        <f t="shared" si="1"/>
        <v>5.8100897460489245</v>
      </c>
      <c r="W10" s="9">
        <f t="shared" si="4"/>
        <v>5.8100897460489245</v>
      </c>
      <c r="X10" s="9" t="str">
        <f t="shared" si="5"/>
        <v>outlier</v>
      </c>
      <c r="Y10" s="9">
        <f t="shared" si="6"/>
        <v>-0.30330416129519089</v>
      </c>
      <c r="Z10" s="9">
        <f t="shared" si="7"/>
        <v>0.30330416129519089</v>
      </c>
      <c r="AA10" s="9" t="str">
        <f t="shared" si="8"/>
        <v>tidak</v>
      </c>
      <c r="AB10" s="9">
        <f t="shared" si="9"/>
        <v>1.1862211625563868</v>
      </c>
      <c r="AC10" s="9">
        <f t="shared" si="10"/>
        <v>1.1862211625563868</v>
      </c>
      <c r="AD10" s="9" t="str">
        <f t="shared" si="11"/>
        <v>tidak</v>
      </c>
      <c r="AE10" s="9">
        <f t="shared" si="12"/>
        <v>2.6802263795019541</v>
      </c>
      <c r="AF10" s="9">
        <f t="shared" si="13"/>
        <v>2.6802263795019541</v>
      </c>
      <c r="AG10" s="9" t="str">
        <f t="shared" si="14"/>
        <v>tidak</v>
      </c>
      <c r="AH10" s="9">
        <f t="shared" si="15"/>
        <v>0.7083547932052382</v>
      </c>
      <c r="AI10" s="9">
        <f t="shared" si="16"/>
        <v>0.7083547932052382</v>
      </c>
      <c r="AJ10" s="9" t="str">
        <f t="shared" si="17"/>
        <v>tidak</v>
      </c>
      <c r="AK10" s="9">
        <f t="shared" si="18"/>
        <v>-0.76595581575461114</v>
      </c>
      <c r="AL10" s="9">
        <f t="shared" si="19"/>
        <v>0.76595581575461114</v>
      </c>
      <c r="AM10" s="9" t="str">
        <f t="shared" si="20"/>
        <v>tidak</v>
      </c>
      <c r="AO10" s="9">
        <f t="shared" si="21"/>
        <v>4.3136189940407634</v>
      </c>
      <c r="AP10" s="9">
        <f t="shared" si="22"/>
        <v>4.3136189940407634</v>
      </c>
      <c r="AQ10" s="9" t="str">
        <f t="shared" si="23"/>
        <v>outlier</v>
      </c>
    </row>
    <row r="11" spans="1:43" x14ac:dyDescent="0.35">
      <c r="A11" s="71" t="s">
        <v>5</v>
      </c>
      <c r="B11" s="1">
        <v>2018</v>
      </c>
      <c r="C11" s="24">
        <v>0.13990937257357325</v>
      </c>
      <c r="D11" s="20">
        <v>0.55555555555555558</v>
      </c>
      <c r="E11" s="25">
        <v>0</v>
      </c>
      <c r="F11" s="1">
        <v>1</v>
      </c>
      <c r="G11" s="1">
        <v>1</v>
      </c>
      <c r="H11" s="45">
        <f t="shared" si="2"/>
        <v>0</v>
      </c>
      <c r="J11" s="54">
        <v>-1.4049192731345556E-2</v>
      </c>
      <c r="V11" s="24">
        <f t="shared" si="1"/>
        <v>-0.17088499253085071</v>
      </c>
      <c r="W11" s="9">
        <f t="shared" si="4"/>
        <v>0.17088499253085071</v>
      </c>
      <c r="X11" s="9" t="str">
        <f t="shared" si="5"/>
        <v>tidak</v>
      </c>
      <c r="Y11" s="9">
        <f t="shared" si="6"/>
        <v>0.46515739490412555</v>
      </c>
      <c r="Z11" s="9">
        <f t="shared" si="7"/>
        <v>0.46515739490412555</v>
      </c>
      <c r="AA11" s="9" t="str">
        <f t="shared" si="8"/>
        <v>tidak</v>
      </c>
      <c r="AB11" s="9">
        <f t="shared" si="9"/>
        <v>0.25806152719020703</v>
      </c>
      <c r="AC11" s="9">
        <f t="shared" si="10"/>
        <v>0.25806152719020703</v>
      </c>
      <c r="AD11" s="9" t="str">
        <f t="shared" si="11"/>
        <v>tidak</v>
      </c>
      <c r="AE11" s="9">
        <f t="shared" si="12"/>
        <v>-0.37043779228888796</v>
      </c>
      <c r="AF11" s="9">
        <f t="shared" si="13"/>
        <v>0.37043779228888796</v>
      </c>
      <c r="AG11" s="9" t="str">
        <f t="shared" si="14"/>
        <v>tidak</v>
      </c>
      <c r="AH11" s="9">
        <f t="shared" si="15"/>
        <v>0.7083547932052382</v>
      </c>
      <c r="AI11" s="9">
        <f t="shared" si="16"/>
        <v>0.7083547932052382</v>
      </c>
      <c r="AJ11" s="9" t="str">
        <f t="shared" si="17"/>
        <v>tidak</v>
      </c>
      <c r="AK11" s="9">
        <f t="shared" si="18"/>
        <v>1.2962329189693418</v>
      </c>
      <c r="AL11" s="9">
        <f t="shared" si="19"/>
        <v>1.2962329189693418</v>
      </c>
      <c r="AM11" s="9" t="str">
        <f t="shared" si="20"/>
        <v>tidak</v>
      </c>
      <c r="AO11" s="9">
        <f t="shared" si="21"/>
        <v>-3.5785668757404868E-2</v>
      </c>
      <c r="AP11" s="9">
        <f t="shared" si="22"/>
        <v>3.5785668757404868E-2</v>
      </c>
      <c r="AQ11" s="9" t="str">
        <f t="shared" si="23"/>
        <v>tidak</v>
      </c>
    </row>
    <row r="12" spans="1:43" x14ac:dyDescent="0.35">
      <c r="A12" s="71"/>
      <c r="B12" s="1">
        <v>2019</v>
      </c>
      <c r="C12" s="24">
        <v>4.5800740683812763E-2</v>
      </c>
      <c r="D12" s="20">
        <v>0.625</v>
      </c>
      <c r="E12" s="25">
        <v>0</v>
      </c>
      <c r="F12" s="1">
        <v>1</v>
      </c>
      <c r="G12" s="1">
        <v>0</v>
      </c>
      <c r="H12" s="45">
        <f t="shared" si="2"/>
        <v>0</v>
      </c>
      <c r="J12" s="54">
        <v>3.5142430250450642E-2</v>
      </c>
      <c r="V12" s="24">
        <f t="shared" si="1"/>
        <v>-0.17088499253085071</v>
      </c>
      <c r="W12" s="9">
        <f t="shared" si="4"/>
        <v>0.17088499253085071</v>
      </c>
      <c r="X12" s="9" t="str">
        <f t="shared" si="5"/>
        <v>tidak</v>
      </c>
      <c r="Y12" s="9">
        <f t="shared" si="6"/>
        <v>-1.7285000790408581E-2</v>
      </c>
      <c r="Z12" s="9">
        <f t="shared" si="7"/>
        <v>1.7285000790408581E-2</v>
      </c>
      <c r="AA12" s="9" t="str">
        <f t="shared" si="8"/>
        <v>tidak</v>
      </c>
      <c r="AB12" s="9">
        <f t="shared" si="9"/>
        <v>0.83816129929406957</v>
      </c>
      <c r="AC12" s="9">
        <f t="shared" si="10"/>
        <v>0.83816129929406957</v>
      </c>
      <c r="AD12" s="9" t="str">
        <f t="shared" si="11"/>
        <v>tidak</v>
      </c>
      <c r="AE12" s="9">
        <f t="shared" si="12"/>
        <v>-0.37043779228888796</v>
      </c>
      <c r="AF12" s="9">
        <f t="shared" si="13"/>
        <v>0.37043779228888796</v>
      </c>
      <c r="AG12" s="9" t="str">
        <f t="shared" si="14"/>
        <v>tidak</v>
      </c>
      <c r="AH12" s="9">
        <f t="shared" si="15"/>
        <v>0.7083547932052382</v>
      </c>
      <c r="AI12" s="9">
        <f t="shared" si="16"/>
        <v>0.7083547932052382</v>
      </c>
      <c r="AJ12" s="9" t="str">
        <f t="shared" si="17"/>
        <v>tidak</v>
      </c>
      <c r="AK12" s="9">
        <f t="shared" si="18"/>
        <v>-0.76595581575461114</v>
      </c>
      <c r="AL12" s="9">
        <f t="shared" si="19"/>
        <v>0.76595581575461114</v>
      </c>
      <c r="AM12" s="9" t="str">
        <f t="shared" si="20"/>
        <v>tidak</v>
      </c>
      <c r="AO12" s="9">
        <f t="shared" si="21"/>
        <v>8.8686827036993862E-2</v>
      </c>
      <c r="AP12" s="9">
        <f t="shared" si="22"/>
        <v>8.8686827036993862E-2</v>
      </c>
      <c r="AQ12" s="9" t="str">
        <f t="shared" si="23"/>
        <v>tidak</v>
      </c>
    </row>
    <row r="13" spans="1:43" x14ac:dyDescent="0.35">
      <c r="A13" s="71"/>
      <c r="B13" s="1">
        <v>2020</v>
      </c>
      <c r="C13" s="24">
        <v>5.4082231953330166E-2</v>
      </c>
      <c r="D13" s="20">
        <v>0.6</v>
      </c>
      <c r="E13" s="25">
        <v>0</v>
      </c>
      <c r="F13" s="1">
        <v>1</v>
      </c>
      <c r="G13" s="1">
        <v>0</v>
      </c>
      <c r="H13" s="45">
        <f t="shared" si="2"/>
        <v>0</v>
      </c>
      <c r="J13" s="54">
        <v>-0.13688096083072815</v>
      </c>
      <c r="V13" s="24">
        <f t="shared" si="1"/>
        <v>-0.17088499253085071</v>
      </c>
      <c r="W13" s="9">
        <f t="shared" si="4"/>
        <v>0.17088499253085071</v>
      </c>
      <c r="X13" s="9" t="str">
        <f t="shared" si="5"/>
        <v>tidak</v>
      </c>
      <c r="Y13" s="9">
        <f t="shared" si="6"/>
        <v>2.516957970619791E-2</v>
      </c>
      <c r="Z13" s="9">
        <f t="shared" si="7"/>
        <v>2.516957970619791E-2</v>
      </c>
      <c r="AA13" s="9" t="str">
        <f t="shared" si="8"/>
        <v>tidak</v>
      </c>
      <c r="AB13" s="9">
        <f t="shared" si="9"/>
        <v>0.62932538133667881</v>
      </c>
      <c r="AC13" s="9">
        <f t="shared" si="10"/>
        <v>0.62932538133667881</v>
      </c>
      <c r="AD13" s="9" t="str">
        <f t="shared" si="11"/>
        <v>tidak</v>
      </c>
      <c r="AE13" s="9">
        <f t="shared" si="12"/>
        <v>-0.37043779228888796</v>
      </c>
      <c r="AF13" s="9">
        <f t="shared" si="13"/>
        <v>0.37043779228888796</v>
      </c>
      <c r="AG13" s="9" t="str">
        <f t="shared" si="14"/>
        <v>tidak</v>
      </c>
      <c r="AH13" s="9">
        <f t="shared" si="15"/>
        <v>0.7083547932052382</v>
      </c>
      <c r="AI13" s="9">
        <f t="shared" si="16"/>
        <v>0.7083547932052382</v>
      </c>
      <c r="AJ13" s="9" t="str">
        <f t="shared" si="17"/>
        <v>tidak</v>
      </c>
      <c r="AK13" s="9">
        <f t="shared" si="18"/>
        <v>-0.76595581575461114</v>
      </c>
      <c r="AL13" s="9">
        <f t="shared" si="19"/>
        <v>0.76595581575461114</v>
      </c>
      <c r="AM13" s="9" t="str">
        <f t="shared" si="20"/>
        <v>tidak</v>
      </c>
      <c r="AO13" s="9">
        <f t="shared" si="21"/>
        <v>-0.34659421320870015</v>
      </c>
      <c r="AP13" s="9">
        <f t="shared" si="22"/>
        <v>0.34659421320870015</v>
      </c>
      <c r="AQ13" s="9" t="str">
        <f t="shared" si="23"/>
        <v>tidak</v>
      </c>
    </row>
    <row r="14" spans="1:43" x14ac:dyDescent="0.35">
      <c r="A14" s="71"/>
      <c r="B14" s="1">
        <v>2021</v>
      </c>
      <c r="C14" s="24">
        <v>8.2460653999802597E-2</v>
      </c>
      <c r="D14" s="20">
        <v>0.7</v>
      </c>
      <c r="E14" s="25">
        <v>1</v>
      </c>
      <c r="F14" s="1">
        <v>1</v>
      </c>
      <c r="G14" s="1">
        <v>0</v>
      </c>
      <c r="H14" s="45">
        <f t="shared" si="2"/>
        <v>0</v>
      </c>
      <c r="J14" s="54">
        <v>-0.12222710881289107</v>
      </c>
      <c r="V14" s="24">
        <f t="shared" si="1"/>
        <v>-0.17088499253085071</v>
      </c>
      <c r="W14" s="9">
        <f t="shared" si="4"/>
        <v>0.17088499253085071</v>
      </c>
      <c r="X14" s="9" t="str">
        <f t="shared" si="5"/>
        <v>tidak</v>
      </c>
      <c r="Y14" s="9">
        <f t="shared" si="6"/>
        <v>0.17064990008922531</v>
      </c>
      <c r="Z14" s="9">
        <f t="shared" si="7"/>
        <v>0.17064990008922531</v>
      </c>
      <c r="AA14" s="9" t="str">
        <f t="shared" si="8"/>
        <v>tidak</v>
      </c>
      <c r="AB14" s="9">
        <f t="shared" si="9"/>
        <v>1.464669053166241</v>
      </c>
      <c r="AC14" s="9">
        <f t="shared" si="10"/>
        <v>1.464669053166241</v>
      </c>
      <c r="AD14" s="9" t="str">
        <f t="shared" si="11"/>
        <v>tidak</v>
      </c>
      <c r="AE14" s="9">
        <f t="shared" si="12"/>
        <v>2.6802263795019541</v>
      </c>
      <c r="AF14" s="9">
        <f t="shared" si="13"/>
        <v>2.6802263795019541</v>
      </c>
      <c r="AG14" s="9" t="str">
        <f t="shared" si="14"/>
        <v>tidak</v>
      </c>
      <c r="AH14" s="9">
        <f t="shared" si="15"/>
        <v>0.7083547932052382</v>
      </c>
      <c r="AI14" s="9">
        <f t="shared" si="16"/>
        <v>0.7083547932052382</v>
      </c>
      <c r="AJ14" s="9" t="str">
        <f t="shared" si="17"/>
        <v>tidak</v>
      </c>
      <c r="AK14" s="9">
        <f t="shared" si="18"/>
        <v>-0.76595581575461114</v>
      </c>
      <c r="AL14" s="9">
        <f t="shared" si="19"/>
        <v>0.76595581575461114</v>
      </c>
      <c r="AM14" s="9" t="str">
        <f t="shared" si="20"/>
        <v>tidak</v>
      </c>
      <c r="AO14" s="9">
        <f t="shared" si="21"/>
        <v>-0.30951469797625997</v>
      </c>
      <c r="AP14" s="9">
        <f t="shared" si="22"/>
        <v>0.30951469797625997</v>
      </c>
      <c r="AQ14" s="9" t="str">
        <f t="shared" si="23"/>
        <v>tidak</v>
      </c>
    </row>
    <row r="15" spans="1:43" x14ac:dyDescent="0.35">
      <c r="A15" s="71" t="s">
        <v>6</v>
      </c>
      <c r="B15" s="1">
        <v>2018</v>
      </c>
      <c r="C15" s="24">
        <v>0.1724442100411146</v>
      </c>
      <c r="D15" s="20">
        <v>0.55555555555555558</v>
      </c>
      <c r="E15" s="25">
        <v>0</v>
      </c>
      <c r="F15" s="1">
        <v>1</v>
      </c>
      <c r="G15" s="1">
        <v>0</v>
      </c>
      <c r="H15" s="45">
        <f t="shared" si="2"/>
        <v>0</v>
      </c>
      <c r="J15" s="54">
        <v>-4.1393197862100439E-3</v>
      </c>
      <c r="V15" s="24">
        <f t="shared" si="1"/>
        <v>-0.17088499253085071</v>
      </c>
      <c r="W15" s="9">
        <f t="shared" si="4"/>
        <v>0.17088499253085071</v>
      </c>
      <c r="X15" s="9" t="str">
        <f t="shared" si="5"/>
        <v>tidak</v>
      </c>
      <c r="Y15" s="9">
        <f t="shared" si="6"/>
        <v>0.63194533577823753</v>
      </c>
      <c r="Z15" s="9">
        <f t="shared" si="7"/>
        <v>0.63194533577823753</v>
      </c>
      <c r="AA15" s="9" t="str">
        <f t="shared" si="8"/>
        <v>tidak</v>
      </c>
      <c r="AB15" s="9">
        <f t="shared" si="9"/>
        <v>0.25806152719020703</v>
      </c>
      <c r="AC15" s="9">
        <f t="shared" si="10"/>
        <v>0.25806152719020703</v>
      </c>
      <c r="AD15" s="9" t="str">
        <f t="shared" si="11"/>
        <v>tidak</v>
      </c>
      <c r="AE15" s="9">
        <f t="shared" si="12"/>
        <v>-0.37043779228888796</v>
      </c>
      <c r="AF15" s="9">
        <f t="shared" si="13"/>
        <v>0.37043779228888796</v>
      </c>
      <c r="AG15" s="9" t="str">
        <f t="shared" si="14"/>
        <v>tidak</v>
      </c>
      <c r="AH15" s="9">
        <f t="shared" si="15"/>
        <v>0.7083547932052382</v>
      </c>
      <c r="AI15" s="9">
        <f t="shared" si="16"/>
        <v>0.7083547932052382</v>
      </c>
      <c r="AJ15" s="9" t="str">
        <f t="shared" si="17"/>
        <v>tidak</v>
      </c>
      <c r="AK15" s="9">
        <f t="shared" si="18"/>
        <v>-0.76595581575461114</v>
      </c>
      <c r="AL15" s="9">
        <f t="shared" si="19"/>
        <v>0.76595581575461114</v>
      </c>
      <c r="AM15" s="9" t="str">
        <f t="shared" si="20"/>
        <v>tidak</v>
      </c>
      <c r="AO15" s="9">
        <f t="shared" si="21"/>
        <v>-1.0710126546836292E-2</v>
      </c>
      <c r="AP15" s="9">
        <f t="shared" si="22"/>
        <v>1.0710126546836292E-2</v>
      </c>
      <c r="AQ15" s="9" t="str">
        <f t="shared" si="23"/>
        <v>tidak</v>
      </c>
    </row>
    <row r="16" spans="1:43" x14ac:dyDescent="0.35">
      <c r="A16" s="71"/>
      <c r="B16" s="1">
        <v>2019</v>
      </c>
      <c r="C16" s="24">
        <v>1.7428208888405655E-2</v>
      </c>
      <c r="D16" s="20">
        <v>0.5</v>
      </c>
      <c r="E16" s="25">
        <v>0</v>
      </c>
      <c r="F16" s="1">
        <v>1</v>
      </c>
      <c r="G16" s="1">
        <v>1</v>
      </c>
      <c r="H16" s="45">
        <f t="shared" si="2"/>
        <v>0</v>
      </c>
      <c r="J16" s="54">
        <v>9.4276091302000181E-2</v>
      </c>
      <c r="V16" s="24">
        <f t="shared" si="1"/>
        <v>-0.17088499253085071</v>
      </c>
      <c r="W16" s="9">
        <f t="shared" si="4"/>
        <v>0.17088499253085071</v>
      </c>
      <c r="X16" s="9" t="str">
        <f t="shared" si="5"/>
        <v>tidak</v>
      </c>
      <c r="Y16" s="9">
        <f t="shared" si="6"/>
        <v>-0.16273512514595015</v>
      </c>
      <c r="Z16" s="9">
        <f t="shared" si="7"/>
        <v>0.16273512514595015</v>
      </c>
      <c r="AA16" s="9" t="str">
        <f t="shared" si="8"/>
        <v>tidak</v>
      </c>
      <c r="AB16" s="9">
        <f t="shared" si="9"/>
        <v>-0.20601829049288331</v>
      </c>
      <c r="AC16" s="9">
        <f t="shared" si="10"/>
        <v>0.20601829049288331</v>
      </c>
      <c r="AD16" s="9" t="str">
        <f t="shared" si="11"/>
        <v>tidak</v>
      </c>
      <c r="AE16" s="9">
        <f t="shared" si="12"/>
        <v>-0.37043779228888796</v>
      </c>
      <c r="AF16" s="9">
        <f t="shared" si="13"/>
        <v>0.37043779228888796</v>
      </c>
      <c r="AG16" s="9" t="str">
        <f t="shared" si="14"/>
        <v>tidak</v>
      </c>
      <c r="AH16" s="9">
        <f t="shared" si="15"/>
        <v>0.7083547932052382</v>
      </c>
      <c r="AI16" s="9">
        <f t="shared" si="16"/>
        <v>0.7083547932052382</v>
      </c>
      <c r="AJ16" s="9" t="str">
        <f t="shared" si="17"/>
        <v>tidak</v>
      </c>
      <c r="AK16" s="9">
        <f t="shared" si="18"/>
        <v>1.2962329189693418</v>
      </c>
      <c r="AL16" s="9">
        <f t="shared" si="19"/>
        <v>1.2962329189693418</v>
      </c>
      <c r="AM16" s="9" t="str">
        <f t="shared" si="20"/>
        <v>tidak</v>
      </c>
      <c r="AO16" s="9">
        <f t="shared" si="21"/>
        <v>0.23831625437404727</v>
      </c>
      <c r="AP16" s="9">
        <f t="shared" si="22"/>
        <v>0.23831625437404727</v>
      </c>
      <c r="AQ16" s="9" t="str">
        <f t="shared" si="23"/>
        <v>tidak</v>
      </c>
    </row>
    <row r="17" spans="1:43" x14ac:dyDescent="0.35">
      <c r="A17" s="71"/>
      <c r="B17" s="1">
        <v>2020</v>
      </c>
      <c r="C17" s="24">
        <v>0.15854795340980249</v>
      </c>
      <c r="D17" s="20">
        <v>0.5</v>
      </c>
      <c r="E17" s="25">
        <v>0</v>
      </c>
      <c r="F17" s="1">
        <v>0</v>
      </c>
      <c r="G17" s="1">
        <v>1</v>
      </c>
      <c r="H17" s="45">
        <f t="shared" si="2"/>
        <v>0</v>
      </c>
      <c r="J17" s="54">
        <v>-4.250413025691268E-2</v>
      </c>
      <c r="V17" s="24">
        <f t="shared" si="1"/>
        <v>-0.17088499253085071</v>
      </c>
      <c r="W17" s="9">
        <f t="shared" si="4"/>
        <v>0.17088499253085071</v>
      </c>
      <c r="X17" s="9" t="str">
        <f t="shared" si="5"/>
        <v>tidak</v>
      </c>
      <c r="Y17" s="9">
        <f t="shared" si="6"/>
        <v>0.56070698913805317</v>
      </c>
      <c r="Z17" s="9">
        <f t="shared" si="7"/>
        <v>0.56070698913805317</v>
      </c>
      <c r="AA17" s="9" t="str">
        <f t="shared" si="8"/>
        <v>tidak</v>
      </c>
      <c r="AB17" s="9">
        <f t="shared" si="9"/>
        <v>-0.20601829049288331</v>
      </c>
      <c r="AC17" s="9">
        <f t="shared" si="10"/>
        <v>0.20601829049288331</v>
      </c>
      <c r="AD17" s="9" t="str">
        <f t="shared" si="11"/>
        <v>tidak</v>
      </c>
      <c r="AE17" s="9">
        <f t="shared" si="12"/>
        <v>-0.37043779228888796</v>
      </c>
      <c r="AF17" s="9">
        <f t="shared" si="13"/>
        <v>0.37043779228888796</v>
      </c>
      <c r="AG17" s="9" t="str">
        <f t="shared" si="14"/>
        <v>tidak</v>
      </c>
      <c r="AH17" s="9">
        <f t="shared" si="15"/>
        <v>-1.4016382078316414</v>
      </c>
      <c r="AI17" s="9">
        <f t="shared" si="16"/>
        <v>1.4016382078316414</v>
      </c>
      <c r="AJ17" s="9" t="str">
        <f t="shared" si="17"/>
        <v>tidak</v>
      </c>
      <c r="AK17" s="9">
        <f t="shared" si="18"/>
        <v>1.2962329189693418</v>
      </c>
      <c r="AL17" s="9">
        <f t="shared" si="19"/>
        <v>1.2962329189693418</v>
      </c>
      <c r="AM17" s="9" t="str">
        <f t="shared" si="20"/>
        <v>tidak</v>
      </c>
      <c r="AO17" s="9">
        <f t="shared" si="21"/>
        <v>-0.10778689329093427</v>
      </c>
      <c r="AP17" s="9">
        <f t="shared" si="22"/>
        <v>0.10778689329093427</v>
      </c>
      <c r="AQ17" s="9" t="str">
        <f t="shared" si="23"/>
        <v>tidak</v>
      </c>
    </row>
    <row r="18" spans="1:43" x14ac:dyDescent="0.35">
      <c r="A18" s="71"/>
      <c r="B18" s="1">
        <v>2021</v>
      </c>
      <c r="C18" s="24">
        <v>2.9511785503685096E-2</v>
      </c>
      <c r="D18" s="20">
        <v>0.5714285714285714</v>
      </c>
      <c r="E18" s="25">
        <v>0</v>
      </c>
      <c r="F18" s="1">
        <v>1</v>
      </c>
      <c r="G18" s="1">
        <v>0</v>
      </c>
      <c r="H18" s="45">
        <f t="shared" si="2"/>
        <v>0</v>
      </c>
      <c r="J18" s="54">
        <v>-1.6695151779572145E-2</v>
      </c>
      <c r="V18" s="24">
        <f t="shared" si="1"/>
        <v>-0.17088499253085071</v>
      </c>
      <c r="W18" s="9">
        <f t="shared" si="4"/>
        <v>0.17088499253085071</v>
      </c>
      <c r="X18" s="9" t="str">
        <f t="shared" si="5"/>
        <v>tidak</v>
      </c>
      <c r="Y18" s="9">
        <f t="shared" si="6"/>
        <v>-0.10078937655975528</v>
      </c>
      <c r="Z18" s="9">
        <f t="shared" si="7"/>
        <v>0.10078937655975528</v>
      </c>
      <c r="AA18" s="9" t="str">
        <f t="shared" si="8"/>
        <v>tidak</v>
      </c>
      <c r="AB18" s="9">
        <f t="shared" si="9"/>
        <v>0.3906557608139466</v>
      </c>
      <c r="AC18" s="9">
        <f t="shared" si="10"/>
        <v>0.3906557608139466</v>
      </c>
      <c r="AD18" s="9" t="str">
        <f t="shared" si="11"/>
        <v>tidak</v>
      </c>
      <c r="AE18" s="9">
        <f t="shared" si="12"/>
        <v>-0.37043779228888796</v>
      </c>
      <c r="AF18" s="9">
        <f t="shared" si="13"/>
        <v>0.37043779228888796</v>
      </c>
      <c r="AG18" s="9" t="str">
        <f t="shared" si="14"/>
        <v>tidak</v>
      </c>
      <c r="AH18" s="9">
        <f t="shared" si="15"/>
        <v>0.7083547932052382</v>
      </c>
      <c r="AI18" s="9">
        <f t="shared" si="16"/>
        <v>0.7083547932052382</v>
      </c>
      <c r="AJ18" s="9" t="str">
        <f t="shared" si="17"/>
        <v>tidak</v>
      </c>
      <c r="AK18" s="9">
        <f t="shared" si="18"/>
        <v>-0.76595581575461114</v>
      </c>
      <c r="AL18" s="9">
        <f t="shared" si="19"/>
        <v>0.76595581575461114</v>
      </c>
      <c r="AM18" s="9" t="str">
        <f t="shared" si="20"/>
        <v>tidak</v>
      </c>
      <c r="AO18" s="9">
        <f t="shared" si="21"/>
        <v>-4.2480896654732307E-2</v>
      </c>
      <c r="AP18" s="9">
        <f t="shared" si="22"/>
        <v>4.2480896654732307E-2</v>
      </c>
      <c r="AQ18" s="9" t="str">
        <f t="shared" si="23"/>
        <v>tidak</v>
      </c>
    </row>
    <row r="19" spans="1:43" x14ac:dyDescent="0.35">
      <c r="A19" s="71" t="s">
        <v>7</v>
      </c>
      <c r="B19" s="1">
        <v>2018</v>
      </c>
      <c r="C19" s="24">
        <v>-5.6355890881692808E-2</v>
      </c>
      <c r="D19" s="20">
        <v>0.33333333333333331</v>
      </c>
      <c r="E19" s="25">
        <v>0</v>
      </c>
      <c r="F19" s="1">
        <v>1</v>
      </c>
      <c r="G19" s="1">
        <v>1</v>
      </c>
      <c r="H19" s="45">
        <f t="shared" si="2"/>
        <v>0</v>
      </c>
      <c r="J19" s="54">
        <v>0.54940431604201667</v>
      </c>
      <c r="V19" s="24">
        <f t="shared" si="1"/>
        <v>-0.17088499253085071</v>
      </c>
      <c r="W19" s="9">
        <f t="shared" si="4"/>
        <v>0.17088499253085071</v>
      </c>
      <c r="X19" s="9" t="str">
        <f t="shared" si="5"/>
        <v>tidak</v>
      </c>
      <c r="Y19" s="9">
        <f t="shared" si="6"/>
        <v>-0.54098499598616079</v>
      </c>
      <c r="Z19" s="9">
        <f t="shared" si="7"/>
        <v>0.54098499598616079</v>
      </c>
      <c r="AA19" s="9" t="str">
        <f t="shared" si="8"/>
        <v>tidak</v>
      </c>
      <c r="AB19" s="9">
        <f t="shared" si="9"/>
        <v>-1.5982577435421539</v>
      </c>
      <c r="AC19" s="9">
        <f t="shared" si="10"/>
        <v>1.5982577435421539</v>
      </c>
      <c r="AD19" s="9" t="str">
        <f t="shared" si="11"/>
        <v>tidak</v>
      </c>
      <c r="AE19" s="9">
        <f t="shared" si="12"/>
        <v>-0.37043779228888796</v>
      </c>
      <c r="AF19" s="9">
        <f t="shared" si="13"/>
        <v>0.37043779228888796</v>
      </c>
      <c r="AG19" s="9" t="str">
        <f t="shared" si="14"/>
        <v>tidak</v>
      </c>
      <c r="AH19" s="9">
        <f t="shared" si="15"/>
        <v>0.7083547932052382</v>
      </c>
      <c r="AI19" s="9">
        <f t="shared" si="16"/>
        <v>0.7083547932052382</v>
      </c>
      <c r="AJ19" s="9" t="str">
        <f t="shared" si="17"/>
        <v>tidak</v>
      </c>
      <c r="AK19" s="9">
        <f t="shared" si="18"/>
        <v>1.2962329189693418</v>
      </c>
      <c r="AL19" s="9">
        <f t="shared" si="19"/>
        <v>1.2962329189693418</v>
      </c>
      <c r="AM19" s="9" t="str">
        <f t="shared" si="20"/>
        <v>tidak</v>
      </c>
      <c r="AO19" s="9">
        <f t="shared" si="21"/>
        <v>1.3899543302478208</v>
      </c>
      <c r="AP19" s="9">
        <f t="shared" si="22"/>
        <v>1.3899543302478208</v>
      </c>
      <c r="AQ19" s="9" t="str">
        <f t="shared" si="23"/>
        <v>tidak</v>
      </c>
    </row>
    <row r="20" spans="1:43" x14ac:dyDescent="0.35">
      <c r="A20" s="71"/>
      <c r="B20" s="1">
        <v>2019</v>
      </c>
      <c r="C20" s="24">
        <v>-2.0131351929495951E-2</v>
      </c>
      <c r="D20" s="20">
        <v>0.33333333333333331</v>
      </c>
      <c r="E20" s="25">
        <v>0</v>
      </c>
      <c r="F20" s="1">
        <v>1</v>
      </c>
      <c r="G20" s="1">
        <v>1</v>
      </c>
      <c r="H20" s="45">
        <f t="shared" si="2"/>
        <v>0</v>
      </c>
      <c r="J20" s="54">
        <v>0.13547312530646227</v>
      </c>
      <c r="V20" s="24">
        <f t="shared" si="1"/>
        <v>-0.17088499253085071</v>
      </c>
      <c r="W20" s="9">
        <f t="shared" si="4"/>
        <v>0.17088499253085071</v>
      </c>
      <c r="X20" s="9" t="str">
        <f t="shared" si="5"/>
        <v>tidak</v>
      </c>
      <c r="Y20" s="9">
        <f t="shared" si="6"/>
        <v>-0.35528201631156914</v>
      </c>
      <c r="Z20" s="9">
        <f t="shared" si="7"/>
        <v>0.35528201631156914</v>
      </c>
      <c r="AA20" s="9" t="str">
        <f t="shared" si="8"/>
        <v>tidak</v>
      </c>
      <c r="AB20" s="9">
        <f t="shared" si="9"/>
        <v>-1.5982577435421539</v>
      </c>
      <c r="AC20" s="9">
        <f t="shared" si="10"/>
        <v>1.5982577435421539</v>
      </c>
      <c r="AD20" s="9" t="str">
        <f t="shared" si="11"/>
        <v>tidak</v>
      </c>
      <c r="AE20" s="9">
        <f t="shared" si="12"/>
        <v>-0.37043779228888796</v>
      </c>
      <c r="AF20" s="9">
        <f t="shared" si="13"/>
        <v>0.37043779228888796</v>
      </c>
      <c r="AG20" s="9" t="str">
        <f t="shared" si="14"/>
        <v>tidak</v>
      </c>
      <c r="AH20" s="9">
        <f t="shared" si="15"/>
        <v>0.7083547932052382</v>
      </c>
      <c r="AI20" s="9">
        <f t="shared" si="16"/>
        <v>0.7083547932052382</v>
      </c>
      <c r="AJ20" s="9" t="str">
        <f t="shared" si="17"/>
        <v>tidak</v>
      </c>
      <c r="AK20" s="9">
        <f t="shared" si="18"/>
        <v>1.2962329189693418</v>
      </c>
      <c r="AL20" s="9">
        <f t="shared" si="19"/>
        <v>1.2962329189693418</v>
      </c>
      <c r="AM20" s="9" t="str">
        <f t="shared" si="20"/>
        <v>tidak</v>
      </c>
      <c r="AO20" s="9">
        <f t="shared" si="21"/>
        <v>0.34255956514587793</v>
      </c>
      <c r="AP20" s="9">
        <f t="shared" si="22"/>
        <v>0.34255956514587793</v>
      </c>
      <c r="AQ20" s="9" t="str">
        <f t="shared" si="23"/>
        <v>tidak</v>
      </c>
    </row>
    <row r="21" spans="1:43" x14ac:dyDescent="0.35">
      <c r="A21" s="71"/>
      <c r="B21" s="1">
        <v>2020</v>
      </c>
      <c r="C21" s="24">
        <v>3.8974207513133664E-2</v>
      </c>
      <c r="D21" s="20">
        <v>0.33333333333333331</v>
      </c>
      <c r="E21" s="25">
        <v>0</v>
      </c>
      <c r="F21" s="1">
        <v>1</v>
      </c>
      <c r="G21" s="1">
        <v>1</v>
      </c>
      <c r="H21" s="45">
        <f t="shared" si="2"/>
        <v>0</v>
      </c>
      <c r="J21" s="54">
        <v>-0.13647549738282233</v>
      </c>
      <c r="V21" s="24">
        <f t="shared" si="1"/>
        <v>-0.17088499253085071</v>
      </c>
      <c r="W21" s="9">
        <f t="shared" si="4"/>
        <v>0.17088499253085071</v>
      </c>
      <c r="X21" s="9" t="str">
        <f t="shared" si="5"/>
        <v>tidak</v>
      </c>
      <c r="Y21" s="9">
        <f t="shared" si="6"/>
        <v>-5.2280823713523127E-2</v>
      </c>
      <c r="Z21" s="9">
        <f t="shared" si="7"/>
        <v>5.2280823713523127E-2</v>
      </c>
      <c r="AA21" s="9" t="str">
        <f t="shared" si="8"/>
        <v>tidak</v>
      </c>
      <c r="AB21" s="9">
        <f t="shared" si="9"/>
        <v>-1.5982577435421539</v>
      </c>
      <c r="AC21" s="9">
        <f t="shared" si="10"/>
        <v>1.5982577435421539</v>
      </c>
      <c r="AD21" s="9" t="str">
        <f t="shared" si="11"/>
        <v>tidak</v>
      </c>
      <c r="AE21" s="9">
        <f t="shared" si="12"/>
        <v>-0.37043779228888796</v>
      </c>
      <c r="AF21" s="9">
        <f t="shared" si="13"/>
        <v>0.37043779228888796</v>
      </c>
      <c r="AG21" s="9" t="str">
        <f t="shared" si="14"/>
        <v>tidak</v>
      </c>
      <c r="AH21" s="9">
        <f t="shared" si="15"/>
        <v>0.7083547932052382</v>
      </c>
      <c r="AI21" s="9">
        <f t="shared" si="16"/>
        <v>0.7083547932052382</v>
      </c>
      <c r="AJ21" s="9" t="str">
        <f t="shared" si="17"/>
        <v>tidak</v>
      </c>
      <c r="AK21" s="9">
        <f t="shared" si="18"/>
        <v>1.2962329189693418</v>
      </c>
      <c r="AL21" s="9">
        <f t="shared" si="19"/>
        <v>1.2962329189693418</v>
      </c>
      <c r="AM21" s="9" t="str">
        <f t="shared" si="20"/>
        <v>tidak</v>
      </c>
      <c r="AO21" s="9">
        <f t="shared" si="21"/>
        <v>-0.34556824487801674</v>
      </c>
      <c r="AP21" s="9">
        <f t="shared" si="22"/>
        <v>0.34556824487801674</v>
      </c>
      <c r="AQ21" s="9" t="str">
        <f t="shared" si="23"/>
        <v>tidak</v>
      </c>
    </row>
    <row r="22" spans="1:43" x14ac:dyDescent="0.35">
      <c r="A22" s="71"/>
      <c r="B22" s="1">
        <v>2021</v>
      </c>
      <c r="C22" s="24">
        <v>0.13362384385012605</v>
      </c>
      <c r="D22" s="20">
        <v>0.33333333333333331</v>
      </c>
      <c r="E22" s="25">
        <v>0</v>
      </c>
      <c r="F22" s="1">
        <v>1</v>
      </c>
      <c r="G22" s="1">
        <v>1</v>
      </c>
      <c r="H22" s="45">
        <f t="shared" si="2"/>
        <v>0</v>
      </c>
      <c r="J22" s="54">
        <v>0.10666339495079756</v>
      </c>
      <c r="V22" s="24">
        <f t="shared" si="1"/>
        <v>-0.17088499253085071</v>
      </c>
      <c r="W22" s="9">
        <f t="shared" si="4"/>
        <v>0.17088499253085071</v>
      </c>
      <c r="X22" s="9" t="str">
        <f t="shared" si="5"/>
        <v>tidak</v>
      </c>
      <c r="Y22" s="9">
        <f t="shared" si="6"/>
        <v>0.43293499962906878</v>
      </c>
      <c r="Z22" s="9">
        <f t="shared" si="7"/>
        <v>0.43293499962906878</v>
      </c>
      <c r="AA22" s="9" t="str">
        <f t="shared" si="8"/>
        <v>tidak</v>
      </c>
      <c r="AB22" s="9">
        <f t="shared" si="9"/>
        <v>-1.5982577435421539</v>
      </c>
      <c r="AC22" s="9">
        <f t="shared" si="10"/>
        <v>1.5982577435421539</v>
      </c>
      <c r="AD22" s="9" t="str">
        <f t="shared" si="11"/>
        <v>tidak</v>
      </c>
      <c r="AE22" s="9">
        <f t="shared" si="12"/>
        <v>-0.37043779228888796</v>
      </c>
      <c r="AF22" s="9">
        <f t="shared" si="13"/>
        <v>0.37043779228888796</v>
      </c>
      <c r="AG22" s="9" t="str">
        <f t="shared" si="14"/>
        <v>tidak</v>
      </c>
      <c r="AH22" s="9">
        <f t="shared" si="15"/>
        <v>0.7083547932052382</v>
      </c>
      <c r="AI22" s="9">
        <f t="shared" si="16"/>
        <v>0.7083547932052382</v>
      </c>
      <c r="AJ22" s="9" t="str">
        <f t="shared" si="17"/>
        <v>tidak</v>
      </c>
      <c r="AK22" s="9">
        <f t="shared" si="18"/>
        <v>1.2962329189693418</v>
      </c>
      <c r="AL22" s="9">
        <f t="shared" si="19"/>
        <v>1.2962329189693418</v>
      </c>
      <c r="AM22" s="9" t="str">
        <f t="shared" si="20"/>
        <v>tidak</v>
      </c>
      <c r="AO22" s="9">
        <f t="shared" si="21"/>
        <v>0.26966058716622732</v>
      </c>
      <c r="AP22" s="9">
        <f t="shared" si="22"/>
        <v>0.26966058716622732</v>
      </c>
      <c r="AQ22" s="9" t="str">
        <f t="shared" si="23"/>
        <v>tidak</v>
      </c>
    </row>
    <row r="23" spans="1:43" x14ac:dyDescent="0.35">
      <c r="A23" s="71" t="s">
        <v>8</v>
      </c>
      <c r="B23" s="1">
        <v>2018</v>
      </c>
      <c r="C23" s="24">
        <v>4.7712530842812136E-2</v>
      </c>
      <c r="D23" s="20">
        <v>0.5</v>
      </c>
      <c r="E23" s="25">
        <v>0</v>
      </c>
      <c r="F23" s="1">
        <v>1</v>
      </c>
      <c r="G23" s="1">
        <v>1</v>
      </c>
      <c r="H23" s="45">
        <f t="shared" si="2"/>
        <v>0</v>
      </c>
      <c r="J23" s="54">
        <v>4.9778599612096981E-3</v>
      </c>
      <c r="V23" s="24">
        <f t="shared" si="1"/>
        <v>-0.17088499253085071</v>
      </c>
      <c r="W23" s="9">
        <f t="shared" si="4"/>
        <v>0.17088499253085071</v>
      </c>
      <c r="X23" s="9" t="str">
        <f t="shared" si="5"/>
        <v>tidak</v>
      </c>
      <c r="Y23" s="9">
        <f t="shared" si="6"/>
        <v>-7.4843203867946597E-3</v>
      </c>
      <c r="Z23" s="9">
        <f t="shared" si="7"/>
        <v>7.4843203867946597E-3</v>
      </c>
      <c r="AA23" s="9" t="str">
        <f t="shared" si="8"/>
        <v>tidak</v>
      </c>
      <c r="AB23" s="9">
        <f t="shared" si="9"/>
        <v>-0.20601829049288331</v>
      </c>
      <c r="AC23" s="9">
        <f t="shared" si="10"/>
        <v>0.20601829049288331</v>
      </c>
      <c r="AD23" s="9" t="str">
        <f t="shared" si="11"/>
        <v>tidak</v>
      </c>
      <c r="AE23" s="9">
        <f t="shared" si="12"/>
        <v>-0.37043779228888796</v>
      </c>
      <c r="AF23" s="9">
        <f t="shared" si="13"/>
        <v>0.37043779228888796</v>
      </c>
      <c r="AG23" s="9" t="str">
        <f t="shared" si="14"/>
        <v>tidak</v>
      </c>
      <c r="AH23" s="9">
        <f t="shared" si="15"/>
        <v>0.7083547932052382</v>
      </c>
      <c r="AI23" s="9">
        <f t="shared" si="16"/>
        <v>0.7083547932052382</v>
      </c>
      <c r="AJ23" s="9" t="str">
        <f t="shared" si="17"/>
        <v>tidak</v>
      </c>
      <c r="AK23" s="9">
        <f t="shared" si="18"/>
        <v>1.2962329189693418</v>
      </c>
      <c r="AL23" s="9">
        <f t="shared" si="19"/>
        <v>1.2962329189693418</v>
      </c>
      <c r="AM23" s="9" t="str">
        <f t="shared" si="20"/>
        <v>tidak</v>
      </c>
      <c r="AO23" s="9">
        <f t="shared" si="21"/>
        <v>1.2359616815512989E-2</v>
      </c>
      <c r="AP23" s="9">
        <f t="shared" si="22"/>
        <v>1.2359616815512989E-2</v>
      </c>
      <c r="AQ23" s="9" t="str">
        <f t="shared" si="23"/>
        <v>tidak</v>
      </c>
    </row>
    <row r="24" spans="1:43" x14ac:dyDescent="0.35">
      <c r="A24" s="71"/>
      <c r="B24" s="1">
        <v>2019</v>
      </c>
      <c r="C24" s="24">
        <v>3.6258843592800252E-2</v>
      </c>
      <c r="D24" s="20">
        <v>0.5</v>
      </c>
      <c r="E24" s="25">
        <v>0</v>
      </c>
      <c r="F24" s="1">
        <v>1</v>
      </c>
      <c r="G24" s="1">
        <v>1</v>
      </c>
      <c r="H24" s="45">
        <f t="shared" si="2"/>
        <v>0</v>
      </c>
      <c r="J24" s="54">
        <v>-0.10184305911932798</v>
      </c>
      <c r="V24" s="24">
        <f t="shared" si="1"/>
        <v>-0.17088499253085071</v>
      </c>
      <c r="W24" s="9">
        <f t="shared" si="4"/>
        <v>0.17088499253085071</v>
      </c>
      <c r="X24" s="9" t="str">
        <f t="shared" si="5"/>
        <v>tidak</v>
      </c>
      <c r="Y24" s="9">
        <f t="shared" si="6"/>
        <v>-6.6200977992704496E-2</v>
      </c>
      <c r="Z24" s="9">
        <f t="shared" si="7"/>
        <v>6.6200977992704496E-2</v>
      </c>
      <c r="AA24" s="9" t="str">
        <f t="shared" si="8"/>
        <v>tidak</v>
      </c>
      <c r="AB24" s="9">
        <f t="shared" si="9"/>
        <v>-0.20601829049288331</v>
      </c>
      <c r="AC24" s="9">
        <f t="shared" si="10"/>
        <v>0.20601829049288331</v>
      </c>
      <c r="AD24" s="9" t="str">
        <f t="shared" si="11"/>
        <v>tidak</v>
      </c>
      <c r="AE24" s="9">
        <f t="shared" si="12"/>
        <v>-0.37043779228888796</v>
      </c>
      <c r="AF24" s="9">
        <f t="shared" si="13"/>
        <v>0.37043779228888796</v>
      </c>
      <c r="AG24" s="9" t="str">
        <f t="shared" si="14"/>
        <v>tidak</v>
      </c>
      <c r="AH24" s="9">
        <f t="shared" si="15"/>
        <v>0.7083547932052382</v>
      </c>
      <c r="AI24" s="9">
        <f t="shared" si="16"/>
        <v>0.7083547932052382</v>
      </c>
      <c r="AJ24" s="9" t="str">
        <f t="shared" si="17"/>
        <v>tidak</v>
      </c>
      <c r="AK24" s="9">
        <f t="shared" si="18"/>
        <v>1.2962329189693418</v>
      </c>
      <c r="AL24" s="9">
        <f t="shared" si="19"/>
        <v>1.2962329189693418</v>
      </c>
      <c r="AM24" s="9" t="str">
        <f t="shared" si="20"/>
        <v>tidak</v>
      </c>
      <c r="AO24" s="9">
        <f t="shared" si="21"/>
        <v>-0.25793572200521342</v>
      </c>
      <c r="AP24" s="9">
        <f t="shared" si="22"/>
        <v>0.25793572200521342</v>
      </c>
      <c r="AQ24" s="9" t="str">
        <f t="shared" si="23"/>
        <v>tidak</v>
      </c>
    </row>
    <row r="25" spans="1:43" x14ac:dyDescent="0.35">
      <c r="A25" s="71"/>
      <c r="B25" s="1">
        <v>2020</v>
      </c>
      <c r="C25" s="24">
        <v>3.8009337585541182E-2</v>
      </c>
      <c r="D25" s="20">
        <v>0.5</v>
      </c>
      <c r="E25" s="25">
        <v>0</v>
      </c>
      <c r="F25" s="1">
        <v>0</v>
      </c>
      <c r="G25" s="1">
        <v>0</v>
      </c>
      <c r="H25" s="45">
        <f t="shared" si="2"/>
        <v>0</v>
      </c>
      <c r="J25" s="54">
        <v>-0.19522420580213729</v>
      </c>
      <c r="V25" s="24">
        <f t="shared" si="1"/>
        <v>-0.17088499253085071</v>
      </c>
      <c r="W25" s="9">
        <f t="shared" si="4"/>
        <v>0.17088499253085071</v>
      </c>
      <c r="X25" s="9" t="str">
        <f t="shared" si="5"/>
        <v>tidak</v>
      </c>
      <c r="Y25" s="9">
        <f t="shared" si="6"/>
        <v>-5.7227172949017399E-2</v>
      </c>
      <c r="Z25" s="9">
        <f t="shared" si="7"/>
        <v>5.7227172949017399E-2</v>
      </c>
      <c r="AA25" s="9" t="str">
        <f t="shared" si="8"/>
        <v>tidak</v>
      </c>
      <c r="AB25" s="9">
        <f t="shared" si="9"/>
        <v>-0.20601829049288331</v>
      </c>
      <c r="AC25" s="9">
        <f t="shared" si="10"/>
        <v>0.20601829049288331</v>
      </c>
      <c r="AD25" s="9" t="str">
        <f t="shared" si="11"/>
        <v>tidak</v>
      </c>
      <c r="AE25" s="9">
        <f t="shared" si="12"/>
        <v>-0.37043779228888796</v>
      </c>
      <c r="AF25" s="9">
        <f t="shared" si="13"/>
        <v>0.37043779228888796</v>
      </c>
      <c r="AG25" s="9" t="str">
        <f t="shared" si="14"/>
        <v>tidak</v>
      </c>
      <c r="AH25" s="9">
        <f t="shared" si="15"/>
        <v>-1.4016382078316414</v>
      </c>
      <c r="AI25" s="9">
        <f t="shared" si="16"/>
        <v>1.4016382078316414</v>
      </c>
      <c r="AJ25" s="9" t="str">
        <f t="shared" si="17"/>
        <v>tidak</v>
      </c>
      <c r="AK25" s="9">
        <f t="shared" si="18"/>
        <v>-0.76595581575461114</v>
      </c>
      <c r="AL25" s="9">
        <f t="shared" si="19"/>
        <v>0.76595581575461114</v>
      </c>
      <c r="AM25" s="9" t="str">
        <f t="shared" si="20"/>
        <v>tidak</v>
      </c>
      <c r="AO25" s="9">
        <f t="shared" si="21"/>
        <v>-0.4942236036238673</v>
      </c>
      <c r="AP25" s="9">
        <f t="shared" si="22"/>
        <v>0.4942236036238673</v>
      </c>
      <c r="AQ25" s="9" t="str">
        <f t="shared" si="23"/>
        <v>tidak</v>
      </c>
    </row>
    <row r="26" spans="1:43" x14ac:dyDescent="0.35">
      <c r="A26" s="71"/>
      <c r="B26" s="1">
        <v>2021</v>
      </c>
      <c r="C26" s="24">
        <v>-4.3060217392131103E-2</v>
      </c>
      <c r="D26" s="20">
        <v>0.5</v>
      </c>
      <c r="E26" s="25">
        <v>1</v>
      </c>
      <c r="F26" s="1">
        <v>0</v>
      </c>
      <c r="G26" s="1">
        <v>0</v>
      </c>
      <c r="H26" s="45">
        <f t="shared" si="2"/>
        <v>0</v>
      </c>
      <c r="J26" s="54">
        <v>5.9473899014668069E-2</v>
      </c>
      <c r="V26" s="24">
        <f t="shared" si="1"/>
        <v>-0.17088499253085071</v>
      </c>
      <c r="W26" s="9">
        <f t="shared" si="4"/>
        <v>0.17088499253085071</v>
      </c>
      <c r="X26" s="9" t="str">
        <f t="shared" si="5"/>
        <v>tidak</v>
      </c>
      <c r="Y26" s="9">
        <f t="shared" si="6"/>
        <v>-0.47282550368591858</v>
      </c>
      <c r="Z26" s="9">
        <f t="shared" si="7"/>
        <v>0.47282550368591858</v>
      </c>
      <c r="AA26" s="9" t="str">
        <f t="shared" si="8"/>
        <v>tidak</v>
      </c>
      <c r="AB26" s="9">
        <f t="shared" si="9"/>
        <v>-0.20601829049288331</v>
      </c>
      <c r="AC26" s="9">
        <f t="shared" si="10"/>
        <v>0.20601829049288331</v>
      </c>
      <c r="AD26" s="9" t="str">
        <f t="shared" si="11"/>
        <v>tidak</v>
      </c>
      <c r="AE26" s="9">
        <f t="shared" si="12"/>
        <v>2.6802263795019541</v>
      </c>
      <c r="AF26" s="9">
        <f t="shared" si="13"/>
        <v>2.6802263795019541</v>
      </c>
      <c r="AG26" s="9" t="str">
        <f t="shared" si="14"/>
        <v>tidak</v>
      </c>
      <c r="AH26" s="9">
        <f t="shared" si="15"/>
        <v>-1.4016382078316414</v>
      </c>
      <c r="AI26" s="9">
        <f t="shared" si="16"/>
        <v>1.4016382078316414</v>
      </c>
      <c r="AJ26" s="9" t="str">
        <f t="shared" si="17"/>
        <v>tidak</v>
      </c>
      <c r="AK26" s="9">
        <f t="shared" si="18"/>
        <v>-0.76595581575461114</v>
      </c>
      <c r="AL26" s="9">
        <f t="shared" si="19"/>
        <v>0.76595581575461114</v>
      </c>
      <c r="AM26" s="9" t="str">
        <f t="shared" si="20"/>
        <v>tidak</v>
      </c>
      <c r="AO26" s="9">
        <f t="shared" si="21"/>
        <v>0.15025419277620433</v>
      </c>
      <c r="AP26" s="9">
        <f t="shared" si="22"/>
        <v>0.15025419277620433</v>
      </c>
      <c r="AQ26" s="9" t="str">
        <f t="shared" si="23"/>
        <v>tidak</v>
      </c>
    </row>
    <row r="27" spans="1:43" x14ac:dyDescent="0.35">
      <c r="A27" s="71" t="s">
        <v>9</v>
      </c>
      <c r="B27" s="1">
        <v>2018</v>
      </c>
      <c r="C27" s="24">
        <v>0.15980030179685795</v>
      </c>
      <c r="D27" s="20">
        <v>0.5</v>
      </c>
      <c r="E27" s="25">
        <v>0</v>
      </c>
      <c r="F27" s="1">
        <v>0</v>
      </c>
      <c r="G27" s="1">
        <v>1</v>
      </c>
      <c r="H27" s="45">
        <f t="shared" si="2"/>
        <v>0</v>
      </c>
      <c r="J27" s="54">
        <v>0.41867518427627093</v>
      </c>
      <c r="V27" s="24">
        <f t="shared" si="1"/>
        <v>-0.17088499253085071</v>
      </c>
      <c r="W27" s="9">
        <f t="shared" si="4"/>
        <v>0.17088499253085071</v>
      </c>
      <c r="X27" s="9" t="str">
        <f t="shared" si="5"/>
        <v>tidak</v>
      </c>
      <c r="Y27" s="9">
        <f t="shared" si="6"/>
        <v>0.56712707987747613</v>
      </c>
      <c r="Z27" s="9">
        <f t="shared" si="7"/>
        <v>0.56712707987747613</v>
      </c>
      <c r="AA27" s="9" t="str">
        <f t="shared" si="8"/>
        <v>tidak</v>
      </c>
      <c r="AB27" s="9">
        <f t="shared" si="9"/>
        <v>-0.20601829049288331</v>
      </c>
      <c r="AC27" s="9">
        <f t="shared" si="10"/>
        <v>0.20601829049288331</v>
      </c>
      <c r="AD27" s="9" t="str">
        <f t="shared" si="11"/>
        <v>tidak</v>
      </c>
      <c r="AE27" s="9">
        <f t="shared" si="12"/>
        <v>-0.37043779228888796</v>
      </c>
      <c r="AF27" s="9">
        <f t="shared" si="13"/>
        <v>0.37043779228888796</v>
      </c>
      <c r="AG27" s="9" t="str">
        <f t="shared" si="14"/>
        <v>tidak</v>
      </c>
      <c r="AH27" s="9">
        <f t="shared" si="15"/>
        <v>-1.4016382078316414</v>
      </c>
      <c r="AI27" s="9">
        <f t="shared" si="16"/>
        <v>1.4016382078316414</v>
      </c>
      <c r="AJ27" s="9" t="str">
        <f t="shared" si="17"/>
        <v>tidak</v>
      </c>
      <c r="AK27" s="9">
        <f t="shared" si="18"/>
        <v>1.2962329189693418</v>
      </c>
      <c r="AL27" s="9">
        <f t="shared" si="19"/>
        <v>1.2962329189693418</v>
      </c>
      <c r="AM27" s="9" t="str">
        <f t="shared" si="20"/>
        <v>tidak</v>
      </c>
      <c r="AO27" s="9">
        <f t="shared" si="21"/>
        <v>1.0591626157736134</v>
      </c>
      <c r="AP27" s="9">
        <f t="shared" si="22"/>
        <v>1.0591626157736134</v>
      </c>
      <c r="AQ27" s="9" t="str">
        <f t="shared" si="23"/>
        <v>tidak</v>
      </c>
    </row>
    <row r="28" spans="1:43" x14ac:dyDescent="0.35">
      <c r="A28" s="71"/>
      <c r="B28" s="1">
        <v>2019</v>
      </c>
      <c r="C28" s="24">
        <v>-1.4474843603740171E-3</v>
      </c>
      <c r="D28" s="20">
        <v>0.42857142857142855</v>
      </c>
      <c r="E28" s="25">
        <v>0</v>
      </c>
      <c r="F28" s="1">
        <v>1</v>
      </c>
      <c r="G28" s="1">
        <v>1</v>
      </c>
      <c r="H28" s="45">
        <f t="shared" si="2"/>
        <v>0</v>
      </c>
      <c r="J28" s="54">
        <v>-9.0152443658912521E-2</v>
      </c>
      <c r="V28" s="24">
        <f t="shared" si="1"/>
        <v>-0.17088499253085071</v>
      </c>
      <c r="W28" s="9">
        <f t="shared" si="4"/>
        <v>0.17088499253085071</v>
      </c>
      <c r="X28" s="9" t="str">
        <f t="shared" si="5"/>
        <v>tidak</v>
      </c>
      <c r="Y28" s="9">
        <f t="shared" si="6"/>
        <v>-0.2595002622909014</v>
      </c>
      <c r="Z28" s="9">
        <f t="shared" si="7"/>
        <v>0.2595002622909014</v>
      </c>
      <c r="AA28" s="9" t="str">
        <f t="shared" si="8"/>
        <v>tidak</v>
      </c>
      <c r="AB28" s="9">
        <f t="shared" si="9"/>
        <v>-0.80269234179971372</v>
      </c>
      <c r="AC28" s="9">
        <f t="shared" si="10"/>
        <v>0.80269234179971372</v>
      </c>
      <c r="AD28" s="9" t="str">
        <f t="shared" si="11"/>
        <v>tidak</v>
      </c>
      <c r="AE28" s="9">
        <f t="shared" si="12"/>
        <v>-0.37043779228888796</v>
      </c>
      <c r="AF28" s="9">
        <f t="shared" si="13"/>
        <v>0.37043779228888796</v>
      </c>
      <c r="AG28" s="9" t="str">
        <f t="shared" si="14"/>
        <v>tidak</v>
      </c>
      <c r="AH28" s="9">
        <f t="shared" si="15"/>
        <v>0.7083547932052382</v>
      </c>
      <c r="AI28" s="9">
        <f t="shared" si="16"/>
        <v>0.7083547932052382</v>
      </c>
      <c r="AJ28" s="9" t="str">
        <f t="shared" si="17"/>
        <v>tidak</v>
      </c>
      <c r="AK28" s="9">
        <f t="shared" si="18"/>
        <v>1.2962329189693418</v>
      </c>
      <c r="AL28" s="9">
        <f t="shared" si="19"/>
        <v>1.2962329189693418</v>
      </c>
      <c r="AM28" s="9" t="str">
        <f t="shared" si="20"/>
        <v>tidak</v>
      </c>
      <c r="AO28" s="9">
        <f t="shared" si="21"/>
        <v>-0.22835426086356758</v>
      </c>
      <c r="AP28" s="9">
        <f t="shared" si="22"/>
        <v>0.22835426086356758</v>
      </c>
      <c r="AQ28" s="9" t="str">
        <f t="shared" si="23"/>
        <v>tidak</v>
      </c>
    </row>
    <row r="29" spans="1:43" x14ac:dyDescent="0.35">
      <c r="A29" s="71"/>
      <c r="B29" s="1">
        <v>2020</v>
      </c>
      <c r="C29" s="24">
        <v>-0.20372848446064939</v>
      </c>
      <c r="D29" s="20">
        <v>0.42857142857142855</v>
      </c>
      <c r="E29" s="25">
        <v>0</v>
      </c>
      <c r="F29" s="1">
        <v>0</v>
      </c>
      <c r="G29" s="1">
        <v>1</v>
      </c>
      <c r="H29" s="45">
        <f t="shared" si="2"/>
        <v>0</v>
      </c>
      <c r="J29" s="54">
        <v>-0.30753782017856363</v>
      </c>
      <c r="V29" s="24">
        <f t="shared" si="1"/>
        <v>-0.17088499253085071</v>
      </c>
      <c r="W29" s="9">
        <f t="shared" si="4"/>
        <v>0.17088499253085071</v>
      </c>
      <c r="X29" s="9" t="str">
        <f t="shared" si="5"/>
        <v>tidak</v>
      </c>
      <c r="Y29" s="9">
        <f t="shared" si="6"/>
        <v>-1.296481975149925</v>
      </c>
      <c r="Z29" s="9">
        <f t="shared" si="7"/>
        <v>1.296481975149925</v>
      </c>
      <c r="AA29" s="9" t="str">
        <f t="shared" si="8"/>
        <v>tidak</v>
      </c>
      <c r="AB29" s="9">
        <f t="shared" si="9"/>
        <v>-0.80269234179971372</v>
      </c>
      <c r="AC29" s="9">
        <f t="shared" si="10"/>
        <v>0.80269234179971372</v>
      </c>
      <c r="AD29" s="9" t="str">
        <f t="shared" si="11"/>
        <v>tidak</v>
      </c>
      <c r="AE29" s="9">
        <f t="shared" si="12"/>
        <v>-0.37043779228888796</v>
      </c>
      <c r="AF29" s="9">
        <f t="shared" si="13"/>
        <v>0.37043779228888796</v>
      </c>
      <c r="AG29" s="9" t="str">
        <f t="shared" si="14"/>
        <v>tidak</v>
      </c>
      <c r="AH29" s="9">
        <f t="shared" si="15"/>
        <v>-1.4016382078316414</v>
      </c>
      <c r="AI29" s="9">
        <f t="shared" si="16"/>
        <v>1.4016382078316414</v>
      </c>
      <c r="AJ29" s="9" t="str">
        <f t="shared" si="17"/>
        <v>tidak</v>
      </c>
      <c r="AK29" s="9">
        <f t="shared" si="18"/>
        <v>1.2962329189693418</v>
      </c>
      <c r="AL29" s="9">
        <f t="shared" si="19"/>
        <v>1.2962329189693418</v>
      </c>
      <c r="AM29" s="9" t="str">
        <f t="shared" si="20"/>
        <v>tidak</v>
      </c>
      <c r="AO29" s="9">
        <f t="shared" si="21"/>
        <v>-0.77841743675470054</v>
      </c>
      <c r="AP29" s="9">
        <f t="shared" si="22"/>
        <v>0.77841743675470054</v>
      </c>
      <c r="AQ29" s="9" t="str">
        <f t="shared" si="23"/>
        <v>tidak</v>
      </c>
    </row>
    <row r="30" spans="1:43" x14ac:dyDescent="0.35">
      <c r="A30" s="71"/>
      <c r="B30" s="1">
        <v>2021</v>
      </c>
      <c r="C30" s="24">
        <v>2.8631105058106194E-2</v>
      </c>
      <c r="D30" s="20">
        <v>0.33333333333333331</v>
      </c>
      <c r="E30" s="25">
        <v>0</v>
      </c>
      <c r="F30" s="1">
        <v>0</v>
      </c>
      <c r="G30" s="1">
        <v>1</v>
      </c>
      <c r="H30" s="45">
        <f t="shared" si="2"/>
        <v>0</v>
      </c>
      <c r="J30" s="54">
        <v>-9.0383033000830643E-2</v>
      </c>
      <c r="V30" s="24">
        <f t="shared" si="1"/>
        <v>-0.17088499253085071</v>
      </c>
      <c r="W30" s="9">
        <f t="shared" si="4"/>
        <v>0.17088499253085071</v>
      </c>
      <c r="X30" s="9" t="str">
        <f t="shared" si="5"/>
        <v>tidak</v>
      </c>
      <c r="Y30" s="9">
        <f t="shared" si="6"/>
        <v>-0.10530413334108986</v>
      </c>
      <c r="Z30" s="9">
        <f t="shared" si="7"/>
        <v>0.10530413334108986</v>
      </c>
      <c r="AA30" s="9" t="str">
        <f t="shared" si="8"/>
        <v>tidak</v>
      </c>
      <c r="AB30" s="9">
        <f t="shared" si="9"/>
        <v>-1.5982577435421539</v>
      </c>
      <c r="AC30" s="9">
        <f t="shared" si="10"/>
        <v>1.5982577435421539</v>
      </c>
      <c r="AD30" s="9" t="str">
        <f t="shared" si="11"/>
        <v>tidak</v>
      </c>
      <c r="AE30" s="9">
        <f t="shared" si="12"/>
        <v>-0.37043779228888796</v>
      </c>
      <c r="AF30" s="9">
        <f t="shared" si="13"/>
        <v>0.37043779228888796</v>
      </c>
      <c r="AG30" s="9" t="str">
        <f t="shared" si="14"/>
        <v>tidak</v>
      </c>
      <c r="AH30" s="9">
        <f t="shared" si="15"/>
        <v>-1.4016382078316414</v>
      </c>
      <c r="AI30" s="9">
        <f t="shared" si="16"/>
        <v>1.4016382078316414</v>
      </c>
      <c r="AJ30" s="9" t="str">
        <f t="shared" si="17"/>
        <v>tidak</v>
      </c>
      <c r="AK30" s="9">
        <f t="shared" si="18"/>
        <v>1.2962329189693418</v>
      </c>
      <c r="AL30" s="9">
        <f t="shared" si="19"/>
        <v>1.2962329189693418</v>
      </c>
      <c r="AM30" s="9" t="str">
        <f t="shared" si="20"/>
        <v>tidak</v>
      </c>
      <c r="AO30" s="9">
        <f t="shared" si="21"/>
        <v>-0.22893773482015484</v>
      </c>
      <c r="AP30" s="9">
        <f t="shared" si="22"/>
        <v>0.22893773482015484</v>
      </c>
      <c r="AQ30" s="9" t="str">
        <f t="shared" si="23"/>
        <v>tidak</v>
      </c>
    </row>
    <row r="31" spans="1:43" x14ac:dyDescent="0.35">
      <c r="A31" s="71" t="s">
        <v>10</v>
      </c>
      <c r="B31" s="1">
        <v>2018</v>
      </c>
      <c r="C31" s="24">
        <v>1.7875826088504271E-3</v>
      </c>
      <c r="D31" s="20">
        <v>0.4</v>
      </c>
      <c r="E31" s="25">
        <v>0</v>
      </c>
      <c r="F31" s="1">
        <v>1</v>
      </c>
      <c r="G31" s="1">
        <v>1</v>
      </c>
      <c r="H31" s="45">
        <f t="shared" si="2"/>
        <v>0</v>
      </c>
      <c r="J31" s="54">
        <v>3.6243318982429884E-2</v>
      </c>
      <c r="V31" s="24">
        <f t="shared" si="1"/>
        <v>-0.17088499253085071</v>
      </c>
      <c r="W31" s="9">
        <f t="shared" si="4"/>
        <v>0.17088499253085071</v>
      </c>
      <c r="X31" s="9" t="str">
        <f t="shared" si="5"/>
        <v>tidak</v>
      </c>
      <c r="Y31" s="9">
        <f t="shared" si="6"/>
        <v>-0.2429158807360495</v>
      </c>
      <c r="Z31" s="9">
        <f t="shared" si="7"/>
        <v>0.2429158807360495</v>
      </c>
      <c r="AA31" s="9" t="str">
        <f t="shared" si="8"/>
        <v>tidak</v>
      </c>
      <c r="AB31" s="9">
        <f t="shared" si="9"/>
        <v>-1.0413619623224455</v>
      </c>
      <c r="AC31" s="9">
        <f t="shared" si="10"/>
        <v>1.0413619623224455</v>
      </c>
      <c r="AD31" s="9" t="str">
        <f t="shared" si="11"/>
        <v>tidak</v>
      </c>
      <c r="AE31" s="9">
        <f t="shared" si="12"/>
        <v>-0.37043779228888796</v>
      </c>
      <c r="AF31" s="9">
        <f t="shared" si="13"/>
        <v>0.37043779228888796</v>
      </c>
      <c r="AG31" s="9" t="str">
        <f t="shared" si="14"/>
        <v>tidak</v>
      </c>
      <c r="AH31" s="9">
        <f t="shared" si="15"/>
        <v>0.7083547932052382</v>
      </c>
      <c r="AI31" s="9">
        <f t="shared" si="16"/>
        <v>0.7083547932052382</v>
      </c>
      <c r="AJ31" s="9" t="str">
        <f t="shared" si="17"/>
        <v>tidak</v>
      </c>
      <c r="AK31" s="9">
        <f t="shared" si="18"/>
        <v>1.2962329189693418</v>
      </c>
      <c r="AL31" s="9">
        <f t="shared" si="19"/>
        <v>1.2962329189693418</v>
      </c>
      <c r="AM31" s="9" t="str">
        <f t="shared" si="20"/>
        <v>tidak</v>
      </c>
      <c r="AO31" s="9">
        <f t="shared" si="21"/>
        <v>9.1472471416161771E-2</v>
      </c>
      <c r="AP31" s="9">
        <f t="shared" si="22"/>
        <v>9.1472471416161771E-2</v>
      </c>
      <c r="AQ31" s="9" t="str">
        <f t="shared" si="23"/>
        <v>tidak</v>
      </c>
    </row>
    <row r="32" spans="1:43" x14ac:dyDescent="0.35">
      <c r="A32" s="71"/>
      <c r="B32" s="1">
        <v>2019</v>
      </c>
      <c r="C32" s="24">
        <v>2.8809078056829862E-2</v>
      </c>
      <c r="D32" s="20">
        <v>0.5</v>
      </c>
      <c r="E32" s="25">
        <v>0</v>
      </c>
      <c r="F32" s="1">
        <v>1</v>
      </c>
      <c r="G32" s="1">
        <v>1</v>
      </c>
      <c r="H32" s="45">
        <f t="shared" si="2"/>
        <v>0</v>
      </c>
      <c r="J32" s="54">
        <v>2.9984470838653486E-2</v>
      </c>
      <c r="V32" s="24">
        <f t="shared" si="1"/>
        <v>-0.17088499253085071</v>
      </c>
      <c r="W32" s="9">
        <f t="shared" si="4"/>
        <v>0.17088499253085071</v>
      </c>
      <c r="X32" s="9" t="str">
        <f t="shared" si="5"/>
        <v>tidak</v>
      </c>
      <c r="Y32" s="9">
        <f t="shared" si="6"/>
        <v>-0.10439176517518382</v>
      </c>
      <c r="Z32" s="9">
        <f t="shared" si="7"/>
        <v>0.10439176517518382</v>
      </c>
      <c r="AA32" s="9" t="str">
        <f t="shared" si="8"/>
        <v>tidak</v>
      </c>
      <c r="AB32" s="9">
        <f t="shared" si="9"/>
        <v>-0.20601829049288331</v>
      </c>
      <c r="AC32" s="9">
        <f t="shared" si="10"/>
        <v>0.20601829049288331</v>
      </c>
      <c r="AD32" s="9" t="str">
        <f t="shared" si="11"/>
        <v>tidak</v>
      </c>
      <c r="AE32" s="9">
        <f t="shared" si="12"/>
        <v>-0.37043779228888796</v>
      </c>
      <c r="AF32" s="9">
        <f t="shared" si="13"/>
        <v>0.37043779228888796</v>
      </c>
      <c r="AG32" s="9" t="str">
        <f t="shared" si="14"/>
        <v>tidak</v>
      </c>
      <c r="AH32" s="9">
        <f t="shared" si="15"/>
        <v>0.7083547932052382</v>
      </c>
      <c r="AI32" s="9">
        <f t="shared" si="16"/>
        <v>0.7083547932052382</v>
      </c>
      <c r="AJ32" s="9" t="str">
        <f t="shared" si="17"/>
        <v>tidak</v>
      </c>
      <c r="AK32" s="9">
        <f t="shared" si="18"/>
        <v>1.2962329189693418</v>
      </c>
      <c r="AL32" s="9">
        <f t="shared" si="19"/>
        <v>1.2962329189693418</v>
      </c>
      <c r="AM32" s="9" t="str">
        <f t="shared" si="20"/>
        <v>tidak</v>
      </c>
      <c r="AO32" s="9">
        <f t="shared" si="21"/>
        <v>7.5635334886995337E-2</v>
      </c>
      <c r="AP32" s="9">
        <f t="shared" si="22"/>
        <v>7.5635334886995337E-2</v>
      </c>
      <c r="AQ32" s="9" t="str">
        <f t="shared" si="23"/>
        <v>tidak</v>
      </c>
    </row>
    <row r="33" spans="1:43" x14ac:dyDescent="0.35">
      <c r="A33" s="71"/>
      <c r="B33" s="1">
        <v>2020</v>
      </c>
      <c r="C33" s="24">
        <v>2.3596179663373799E-2</v>
      </c>
      <c r="D33" s="20">
        <v>0.33333333333333331</v>
      </c>
      <c r="E33" s="25">
        <v>0</v>
      </c>
      <c r="F33" s="1">
        <v>1</v>
      </c>
      <c r="G33" s="1">
        <v>1</v>
      </c>
      <c r="H33" s="45">
        <f t="shared" si="2"/>
        <v>0</v>
      </c>
      <c r="J33" s="54">
        <v>-0.15633807369462527</v>
      </c>
      <c r="V33" s="24">
        <f t="shared" si="1"/>
        <v>-0.17088499253085071</v>
      </c>
      <c r="W33" s="9">
        <f t="shared" si="4"/>
        <v>0.17088499253085071</v>
      </c>
      <c r="X33" s="9" t="str">
        <f t="shared" si="5"/>
        <v>tidak</v>
      </c>
      <c r="Y33" s="9">
        <f t="shared" si="6"/>
        <v>-0.13111538381621488</v>
      </c>
      <c r="Z33" s="9">
        <f t="shared" si="7"/>
        <v>0.13111538381621488</v>
      </c>
      <c r="AA33" s="9" t="str">
        <f t="shared" si="8"/>
        <v>tidak</v>
      </c>
      <c r="AB33" s="9">
        <f t="shared" si="9"/>
        <v>-1.5982577435421539</v>
      </c>
      <c r="AC33" s="9">
        <f t="shared" si="10"/>
        <v>1.5982577435421539</v>
      </c>
      <c r="AD33" s="9" t="str">
        <f t="shared" si="11"/>
        <v>tidak</v>
      </c>
      <c r="AE33" s="9">
        <f t="shared" si="12"/>
        <v>-0.37043779228888796</v>
      </c>
      <c r="AF33" s="9">
        <f t="shared" si="13"/>
        <v>0.37043779228888796</v>
      </c>
      <c r="AG33" s="9" t="str">
        <f t="shared" si="14"/>
        <v>tidak</v>
      </c>
      <c r="AH33" s="9">
        <f t="shared" si="15"/>
        <v>0.7083547932052382</v>
      </c>
      <c r="AI33" s="9">
        <f t="shared" si="16"/>
        <v>0.7083547932052382</v>
      </c>
      <c r="AJ33" s="9" t="str">
        <f t="shared" si="17"/>
        <v>tidak</v>
      </c>
      <c r="AK33" s="9">
        <f t="shared" si="18"/>
        <v>1.2962329189693418</v>
      </c>
      <c r="AL33" s="9">
        <f t="shared" si="19"/>
        <v>1.2962329189693418</v>
      </c>
      <c r="AM33" s="9" t="str">
        <f t="shared" si="20"/>
        <v>tidak</v>
      </c>
      <c r="AO33" s="9">
        <f t="shared" si="21"/>
        <v>-0.39582770566774772</v>
      </c>
      <c r="AP33" s="9">
        <f t="shared" si="22"/>
        <v>0.39582770566774772</v>
      </c>
      <c r="AQ33" s="9" t="str">
        <f t="shared" si="23"/>
        <v>tidak</v>
      </c>
    </row>
    <row r="34" spans="1:43" x14ac:dyDescent="0.35">
      <c r="A34" s="71"/>
      <c r="B34" s="1">
        <v>2021</v>
      </c>
      <c r="C34" s="24">
        <v>0.10622542912126438</v>
      </c>
      <c r="D34" s="20">
        <v>0.5</v>
      </c>
      <c r="E34" s="25">
        <v>0</v>
      </c>
      <c r="F34" s="1">
        <v>1</v>
      </c>
      <c r="G34" s="1">
        <v>1</v>
      </c>
      <c r="H34" s="45">
        <f t="shared" si="2"/>
        <v>0</v>
      </c>
      <c r="J34" s="54">
        <v>6.6769427819196259E-2</v>
      </c>
      <c r="V34" s="24">
        <f t="shared" si="1"/>
        <v>-0.17088499253085071</v>
      </c>
      <c r="W34" s="9">
        <f t="shared" si="4"/>
        <v>0.17088499253085071</v>
      </c>
      <c r="X34" s="9" t="str">
        <f t="shared" si="5"/>
        <v>tidak</v>
      </c>
      <c r="Y34" s="9">
        <f t="shared" si="6"/>
        <v>0.29247862942587349</v>
      </c>
      <c r="Z34" s="9">
        <f t="shared" si="7"/>
        <v>0.29247862942587349</v>
      </c>
      <c r="AA34" s="9" t="str">
        <f t="shared" si="8"/>
        <v>tidak</v>
      </c>
      <c r="AB34" s="9">
        <f t="shared" si="9"/>
        <v>-0.20601829049288331</v>
      </c>
      <c r="AC34" s="9">
        <f t="shared" si="10"/>
        <v>0.20601829049288331</v>
      </c>
      <c r="AD34" s="9" t="str">
        <f t="shared" si="11"/>
        <v>tidak</v>
      </c>
      <c r="AE34" s="9">
        <f t="shared" si="12"/>
        <v>-0.37043779228888796</v>
      </c>
      <c r="AF34" s="9">
        <f t="shared" si="13"/>
        <v>0.37043779228888796</v>
      </c>
      <c r="AG34" s="9" t="str">
        <f t="shared" si="14"/>
        <v>tidak</v>
      </c>
      <c r="AH34" s="9">
        <f t="shared" si="15"/>
        <v>0.7083547932052382</v>
      </c>
      <c r="AI34" s="9">
        <f t="shared" si="16"/>
        <v>0.7083547932052382</v>
      </c>
      <c r="AJ34" s="9" t="str">
        <f t="shared" si="17"/>
        <v>tidak</v>
      </c>
      <c r="AK34" s="9">
        <f t="shared" si="18"/>
        <v>1.2962329189693418</v>
      </c>
      <c r="AL34" s="9">
        <f t="shared" si="19"/>
        <v>1.2962329189693418</v>
      </c>
      <c r="AM34" s="9" t="str">
        <f t="shared" si="20"/>
        <v>tidak</v>
      </c>
      <c r="AO34" s="9">
        <f t="shared" si="21"/>
        <v>0.16871450417466335</v>
      </c>
      <c r="AP34" s="9">
        <f t="shared" si="22"/>
        <v>0.16871450417466335</v>
      </c>
      <c r="AQ34" s="9" t="str">
        <f t="shared" si="23"/>
        <v>tidak</v>
      </c>
    </row>
    <row r="35" spans="1:43" x14ac:dyDescent="0.35">
      <c r="A35" s="71" t="s">
        <v>11</v>
      </c>
      <c r="B35" s="1">
        <v>2018</v>
      </c>
      <c r="C35" s="24">
        <v>2.4700033317077576E-2</v>
      </c>
      <c r="D35" s="20">
        <v>0.5</v>
      </c>
      <c r="E35" s="25">
        <v>0</v>
      </c>
      <c r="F35" s="1">
        <v>1</v>
      </c>
      <c r="G35" s="1">
        <v>1</v>
      </c>
      <c r="H35" s="45">
        <f t="shared" si="2"/>
        <v>0</v>
      </c>
      <c r="J35" s="54">
        <v>-0.17180835004450754</v>
      </c>
      <c r="V35" s="24">
        <f t="shared" ref="V35:V67" si="24">STANDARDIZE(H35,$R$3,$R$4)</f>
        <v>-0.17088499253085071</v>
      </c>
      <c r="W35" s="9">
        <f t="shared" si="4"/>
        <v>0.17088499253085071</v>
      </c>
      <c r="X35" s="9" t="str">
        <f t="shared" si="5"/>
        <v>tidak</v>
      </c>
      <c r="Y35" s="9">
        <f t="shared" si="6"/>
        <v>-0.12545654263985134</v>
      </c>
      <c r="Z35" s="9">
        <f t="shared" si="7"/>
        <v>0.12545654263985134</v>
      </c>
      <c r="AA35" s="9" t="str">
        <f t="shared" si="8"/>
        <v>tidak</v>
      </c>
      <c r="AB35" s="9">
        <f t="shared" si="9"/>
        <v>-0.20601829049288331</v>
      </c>
      <c r="AC35" s="9">
        <f t="shared" si="10"/>
        <v>0.20601829049288331</v>
      </c>
      <c r="AD35" s="9" t="str">
        <f t="shared" si="11"/>
        <v>tidak</v>
      </c>
      <c r="AE35" s="9">
        <f t="shared" si="12"/>
        <v>-0.37043779228888796</v>
      </c>
      <c r="AF35" s="9">
        <f t="shared" si="13"/>
        <v>0.37043779228888796</v>
      </c>
      <c r="AG35" s="9" t="str">
        <f t="shared" si="14"/>
        <v>tidak</v>
      </c>
      <c r="AH35" s="9">
        <f t="shared" si="15"/>
        <v>0.7083547932052382</v>
      </c>
      <c r="AI35" s="9">
        <f t="shared" si="16"/>
        <v>0.7083547932052382</v>
      </c>
      <c r="AJ35" s="9" t="str">
        <f t="shared" si="17"/>
        <v>tidak</v>
      </c>
      <c r="AK35" s="9">
        <f t="shared" si="18"/>
        <v>1.2962329189693418</v>
      </c>
      <c r="AL35" s="9">
        <f t="shared" si="19"/>
        <v>1.2962329189693418</v>
      </c>
      <c r="AM35" s="9" t="str">
        <f t="shared" si="20"/>
        <v>tidak</v>
      </c>
      <c r="AO35" s="9">
        <f t="shared" si="21"/>
        <v>-0.43497306805214198</v>
      </c>
      <c r="AP35" s="9">
        <f t="shared" si="22"/>
        <v>0.43497306805214198</v>
      </c>
      <c r="AQ35" s="9" t="str">
        <f t="shared" si="23"/>
        <v>tidak</v>
      </c>
    </row>
    <row r="36" spans="1:43" x14ac:dyDescent="0.35">
      <c r="A36" s="71"/>
      <c r="B36" s="1">
        <v>2019</v>
      </c>
      <c r="C36" s="24">
        <v>-4.7596980610766712E-2</v>
      </c>
      <c r="D36" s="20">
        <v>0.5</v>
      </c>
      <c r="E36" s="25">
        <v>0</v>
      </c>
      <c r="F36" s="1">
        <v>1</v>
      </c>
      <c r="G36" s="1">
        <v>1</v>
      </c>
      <c r="H36" s="45">
        <f t="shared" si="2"/>
        <v>0</v>
      </c>
      <c r="J36" s="54">
        <v>0.20563519574351558</v>
      </c>
      <c r="V36" s="24">
        <f t="shared" si="24"/>
        <v>-0.17088499253085071</v>
      </c>
      <c r="W36" s="9">
        <f t="shared" si="4"/>
        <v>0.17088499253085071</v>
      </c>
      <c r="X36" s="9" t="str">
        <f t="shared" si="5"/>
        <v>tidak</v>
      </c>
      <c r="Y36" s="9">
        <f t="shared" si="6"/>
        <v>-0.49608295490953536</v>
      </c>
      <c r="Z36" s="9">
        <f t="shared" si="7"/>
        <v>0.49608295490953536</v>
      </c>
      <c r="AA36" s="9" t="str">
        <f t="shared" si="8"/>
        <v>tidak</v>
      </c>
      <c r="AB36" s="9">
        <f t="shared" si="9"/>
        <v>-0.20601829049288331</v>
      </c>
      <c r="AC36" s="9">
        <f t="shared" si="10"/>
        <v>0.20601829049288331</v>
      </c>
      <c r="AD36" s="9" t="str">
        <f t="shared" si="11"/>
        <v>tidak</v>
      </c>
      <c r="AE36" s="9">
        <f t="shared" si="12"/>
        <v>-0.37043779228888796</v>
      </c>
      <c r="AF36" s="9">
        <f t="shared" si="13"/>
        <v>0.37043779228888796</v>
      </c>
      <c r="AG36" s="9" t="str">
        <f t="shared" si="14"/>
        <v>tidak</v>
      </c>
      <c r="AH36" s="9">
        <f t="shared" si="15"/>
        <v>0.7083547932052382</v>
      </c>
      <c r="AI36" s="9">
        <f t="shared" si="16"/>
        <v>0.7083547932052382</v>
      </c>
      <c r="AJ36" s="9" t="str">
        <f t="shared" si="17"/>
        <v>tidak</v>
      </c>
      <c r="AK36" s="9">
        <f t="shared" si="18"/>
        <v>1.2962329189693418</v>
      </c>
      <c r="AL36" s="9">
        <f t="shared" si="19"/>
        <v>1.2962329189693418</v>
      </c>
      <c r="AM36" s="9" t="str">
        <f t="shared" si="20"/>
        <v>tidak</v>
      </c>
      <c r="AO36" s="9">
        <f t="shared" si="21"/>
        <v>0.520094834121131</v>
      </c>
      <c r="AP36" s="9">
        <f t="shared" si="22"/>
        <v>0.520094834121131</v>
      </c>
      <c r="AQ36" s="9" t="str">
        <f t="shared" si="23"/>
        <v>tidak</v>
      </c>
    </row>
    <row r="37" spans="1:43" x14ac:dyDescent="0.35">
      <c r="A37" s="71"/>
      <c r="B37" s="1">
        <v>2020</v>
      </c>
      <c r="C37" s="24">
        <v>2.4494397213484065E-2</v>
      </c>
      <c r="D37" s="20">
        <v>0.5</v>
      </c>
      <c r="E37" s="25">
        <v>0</v>
      </c>
      <c r="F37" s="1">
        <v>1</v>
      </c>
      <c r="G37" s="1">
        <v>1</v>
      </c>
      <c r="H37" s="45">
        <f t="shared" si="2"/>
        <v>0</v>
      </c>
      <c r="J37" s="54">
        <v>-7.33567671482519E-2</v>
      </c>
      <c r="V37" s="24">
        <f t="shared" si="24"/>
        <v>-0.17088499253085071</v>
      </c>
      <c r="W37" s="9">
        <f t="shared" si="4"/>
        <v>0.17088499253085071</v>
      </c>
      <c r="X37" s="9" t="str">
        <f t="shared" si="5"/>
        <v>tidak</v>
      </c>
      <c r="Y37" s="9">
        <f t="shared" si="6"/>
        <v>-0.126510724094483</v>
      </c>
      <c r="Z37" s="9">
        <f t="shared" si="7"/>
        <v>0.126510724094483</v>
      </c>
      <c r="AA37" s="9" t="str">
        <f t="shared" si="8"/>
        <v>tidak</v>
      </c>
      <c r="AB37" s="9">
        <f t="shared" si="9"/>
        <v>-0.20601829049288331</v>
      </c>
      <c r="AC37" s="9">
        <f t="shared" si="10"/>
        <v>0.20601829049288331</v>
      </c>
      <c r="AD37" s="9" t="str">
        <f t="shared" si="11"/>
        <v>tidak</v>
      </c>
      <c r="AE37" s="9">
        <f t="shared" si="12"/>
        <v>-0.37043779228888796</v>
      </c>
      <c r="AF37" s="9">
        <f t="shared" si="13"/>
        <v>0.37043779228888796</v>
      </c>
      <c r="AG37" s="9" t="str">
        <f t="shared" si="14"/>
        <v>tidak</v>
      </c>
      <c r="AH37" s="9">
        <f t="shared" si="15"/>
        <v>0.7083547932052382</v>
      </c>
      <c r="AI37" s="9">
        <f t="shared" si="16"/>
        <v>0.7083547932052382</v>
      </c>
      <c r="AJ37" s="9" t="str">
        <f t="shared" si="17"/>
        <v>tidak</v>
      </c>
      <c r="AK37" s="9">
        <f t="shared" si="18"/>
        <v>1.2962329189693418</v>
      </c>
      <c r="AL37" s="9">
        <f t="shared" si="19"/>
        <v>1.2962329189693418</v>
      </c>
      <c r="AM37" s="9" t="str">
        <f t="shared" si="20"/>
        <v>tidak</v>
      </c>
      <c r="AO37" s="9">
        <f t="shared" si="21"/>
        <v>-0.18585515944926922</v>
      </c>
      <c r="AP37" s="9">
        <f t="shared" si="22"/>
        <v>0.18585515944926922</v>
      </c>
      <c r="AQ37" s="9" t="str">
        <f t="shared" si="23"/>
        <v>tidak</v>
      </c>
    </row>
    <row r="38" spans="1:43" x14ac:dyDescent="0.35">
      <c r="A38" s="71"/>
      <c r="B38" s="1">
        <v>2021</v>
      </c>
      <c r="C38" s="24">
        <v>-2.5781216102497145E-2</v>
      </c>
      <c r="D38" s="20">
        <v>0.5714285714285714</v>
      </c>
      <c r="E38" s="25">
        <v>0</v>
      </c>
      <c r="F38" s="1">
        <v>1</v>
      </c>
      <c r="G38" s="1">
        <v>1</v>
      </c>
      <c r="H38" s="45">
        <f t="shared" si="2"/>
        <v>0</v>
      </c>
      <c r="J38" s="54">
        <v>-9.201919235376875E-2</v>
      </c>
      <c r="V38" s="24">
        <f t="shared" si="24"/>
        <v>-0.17088499253085071</v>
      </c>
      <c r="W38" s="9">
        <f t="shared" si="4"/>
        <v>0.17088499253085071</v>
      </c>
      <c r="X38" s="9" t="str">
        <f t="shared" si="5"/>
        <v>tidak</v>
      </c>
      <c r="Y38" s="9">
        <f t="shared" si="6"/>
        <v>-0.38424571445739231</v>
      </c>
      <c r="Z38" s="9">
        <f t="shared" si="7"/>
        <v>0.38424571445739231</v>
      </c>
      <c r="AA38" s="9" t="str">
        <f t="shared" si="8"/>
        <v>tidak</v>
      </c>
      <c r="AB38" s="9">
        <f t="shared" si="9"/>
        <v>0.3906557608139466</v>
      </c>
      <c r="AC38" s="9">
        <f t="shared" si="10"/>
        <v>0.3906557608139466</v>
      </c>
      <c r="AD38" s="9" t="str">
        <f t="shared" si="11"/>
        <v>tidak</v>
      </c>
      <c r="AE38" s="9">
        <f t="shared" si="12"/>
        <v>-0.37043779228888796</v>
      </c>
      <c r="AF38" s="9">
        <f t="shared" si="13"/>
        <v>0.37043779228888796</v>
      </c>
      <c r="AG38" s="9" t="str">
        <f t="shared" si="14"/>
        <v>tidak</v>
      </c>
      <c r="AH38" s="9">
        <f t="shared" si="15"/>
        <v>0.7083547932052382</v>
      </c>
      <c r="AI38" s="9">
        <f t="shared" si="16"/>
        <v>0.7083547932052382</v>
      </c>
      <c r="AJ38" s="9" t="str">
        <f t="shared" si="17"/>
        <v>tidak</v>
      </c>
      <c r="AK38" s="9">
        <f t="shared" si="18"/>
        <v>1.2962329189693418</v>
      </c>
      <c r="AL38" s="9">
        <f t="shared" si="19"/>
        <v>1.2962329189693418</v>
      </c>
      <c r="AM38" s="9" t="str">
        <f t="shared" si="20"/>
        <v>tidak</v>
      </c>
      <c r="AO38" s="9">
        <f t="shared" si="21"/>
        <v>-0.23307780635739439</v>
      </c>
      <c r="AP38" s="9">
        <f t="shared" si="22"/>
        <v>0.23307780635739439</v>
      </c>
      <c r="AQ38" s="9" t="str">
        <f t="shared" si="23"/>
        <v>tidak</v>
      </c>
    </row>
    <row r="39" spans="1:43" x14ac:dyDescent="0.35">
      <c r="A39" s="71" t="s">
        <v>12</v>
      </c>
      <c r="B39" s="1">
        <v>2018</v>
      </c>
      <c r="C39" s="24">
        <v>3.077291282847644E-2</v>
      </c>
      <c r="D39" s="20">
        <v>0.5</v>
      </c>
      <c r="E39" s="25">
        <v>0</v>
      </c>
      <c r="F39" s="1">
        <v>1</v>
      </c>
      <c r="G39" s="1">
        <v>0</v>
      </c>
      <c r="H39" s="45">
        <f t="shared" si="2"/>
        <v>0</v>
      </c>
      <c r="J39" s="54">
        <v>-0.16987753418303958</v>
      </c>
      <c r="V39" s="24">
        <f t="shared" si="24"/>
        <v>-0.17088499253085071</v>
      </c>
      <c r="W39" s="9">
        <f t="shared" si="4"/>
        <v>0.17088499253085071</v>
      </c>
      <c r="X39" s="9" t="str">
        <f t="shared" si="5"/>
        <v>tidak</v>
      </c>
      <c r="Y39" s="9">
        <f t="shared" si="6"/>
        <v>-9.4324281109628205E-2</v>
      </c>
      <c r="Z39" s="9">
        <f t="shared" si="7"/>
        <v>9.4324281109628205E-2</v>
      </c>
      <c r="AA39" s="9" t="str">
        <f t="shared" si="8"/>
        <v>tidak</v>
      </c>
      <c r="AB39" s="9">
        <f t="shared" si="9"/>
        <v>-0.20601829049288331</v>
      </c>
      <c r="AC39" s="9">
        <f t="shared" si="10"/>
        <v>0.20601829049288331</v>
      </c>
      <c r="AD39" s="9" t="str">
        <f t="shared" si="11"/>
        <v>tidak</v>
      </c>
      <c r="AE39" s="9">
        <f t="shared" si="12"/>
        <v>-0.37043779228888796</v>
      </c>
      <c r="AF39" s="9">
        <f t="shared" si="13"/>
        <v>0.37043779228888796</v>
      </c>
      <c r="AG39" s="9" t="str">
        <f t="shared" si="14"/>
        <v>tidak</v>
      </c>
      <c r="AH39" s="9">
        <f t="shared" si="15"/>
        <v>0.7083547932052382</v>
      </c>
      <c r="AI39" s="9">
        <f t="shared" si="16"/>
        <v>0.7083547932052382</v>
      </c>
      <c r="AJ39" s="9" t="str">
        <f t="shared" si="17"/>
        <v>tidak</v>
      </c>
      <c r="AK39" s="9">
        <f t="shared" si="18"/>
        <v>-0.76595581575461114</v>
      </c>
      <c r="AL39" s="9">
        <f t="shared" si="19"/>
        <v>0.76595581575461114</v>
      </c>
      <c r="AM39" s="9" t="str">
        <f t="shared" si="20"/>
        <v>tidak</v>
      </c>
      <c r="AO39" s="9">
        <f t="shared" si="21"/>
        <v>-0.43008740958778785</v>
      </c>
      <c r="AP39" s="9">
        <f t="shared" si="22"/>
        <v>0.43008740958778785</v>
      </c>
      <c r="AQ39" s="9" t="str">
        <f t="shared" si="23"/>
        <v>tidak</v>
      </c>
    </row>
    <row r="40" spans="1:43" x14ac:dyDescent="0.35">
      <c r="A40" s="71"/>
      <c r="B40" s="1">
        <v>2019</v>
      </c>
      <c r="C40" s="24">
        <v>5.5976405073079077E-2</v>
      </c>
      <c r="D40" s="20">
        <v>0.5</v>
      </c>
      <c r="E40" s="25">
        <v>0</v>
      </c>
      <c r="F40" s="1">
        <v>1</v>
      </c>
      <c r="G40" s="1">
        <v>1</v>
      </c>
      <c r="H40" s="45">
        <f t="shared" si="2"/>
        <v>0</v>
      </c>
      <c r="J40" s="54">
        <v>-5.6707035398179603E-3</v>
      </c>
      <c r="V40" s="24">
        <f t="shared" si="24"/>
        <v>-0.17088499253085071</v>
      </c>
      <c r="W40" s="9">
        <f t="shared" si="4"/>
        <v>0.17088499253085071</v>
      </c>
      <c r="X40" s="9" t="str">
        <f t="shared" si="5"/>
        <v>tidak</v>
      </c>
      <c r="Y40" s="9">
        <f t="shared" si="6"/>
        <v>3.4879947388753538E-2</v>
      </c>
      <c r="Z40" s="9">
        <f t="shared" si="7"/>
        <v>3.4879947388753538E-2</v>
      </c>
      <c r="AA40" s="9" t="str">
        <f t="shared" si="8"/>
        <v>tidak</v>
      </c>
      <c r="AB40" s="9">
        <f t="shared" si="9"/>
        <v>-0.20601829049288331</v>
      </c>
      <c r="AC40" s="9">
        <f t="shared" si="10"/>
        <v>0.20601829049288331</v>
      </c>
      <c r="AD40" s="9" t="str">
        <f t="shared" si="11"/>
        <v>tidak</v>
      </c>
      <c r="AE40" s="9">
        <f t="shared" si="12"/>
        <v>-0.37043779228888796</v>
      </c>
      <c r="AF40" s="9">
        <f t="shared" si="13"/>
        <v>0.37043779228888796</v>
      </c>
      <c r="AG40" s="9" t="str">
        <f t="shared" si="14"/>
        <v>tidak</v>
      </c>
      <c r="AH40" s="9">
        <f t="shared" si="15"/>
        <v>0.7083547932052382</v>
      </c>
      <c r="AI40" s="9">
        <f t="shared" si="16"/>
        <v>0.7083547932052382</v>
      </c>
      <c r="AJ40" s="9" t="str">
        <f t="shared" si="17"/>
        <v>tidak</v>
      </c>
      <c r="AK40" s="9">
        <f t="shared" si="18"/>
        <v>1.2962329189693418</v>
      </c>
      <c r="AL40" s="9">
        <f t="shared" si="19"/>
        <v>1.2962329189693418</v>
      </c>
      <c r="AM40" s="9" t="str">
        <f t="shared" si="20"/>
        <v>tidak</v>
      </c>
      <c r="AO40" s="9">
        <f t="shared" si="21"/>
        <v>-1.4585078139734758E-2</v>
      </c>
      <c r="AP40" s="9">
        <f t="shared" si="22"/>
        <v>1.4585078139734758E-2</v>
      </c>
      <c r="AQ40" s="9" t="str">
        <f t="shared" si="23"/>
        <v>tidak</v>
      </c>
    </row>
    <row r="41" spans="1:43" x14ac:dyDescent="0.35">
      <c r="A41" s="71"/>
      <c r="B41" s="1">
        <v>2020</v>
      </c>
      <c r="C41" s="24">
        <v>0.22467980878365279</v>
      </c>
      <c r="D41" s="20">
        <v>0.5</v>
      </c>
      <c r="E41" s="25">
        <v>0</v>
      </c>
      <c r="F41" s="1">
        <v>0</v>
      </c>
      <c r="G41" s="1">
        <v>1</v>
      </c>
      <c r="H41" s="45">
        <f t="shared" si="2"/>
        <v>0</v>
      </c>
      <c r="J41" s="54">
        <v>0.11485175353618421</v>
      </c>
      <c r="V41" s="24">
        <f t="shared" si="24"/>
        <v>-0.17088499253085071</v>
      </c>
      <c r="W41" s="9">
        <f t="shared" si="4"/>
        <v>0.17088499253085071</v>
      </c>
      <c r="X41" s="9" t="str">
        <f t="shared" si="5"/>
        <v>tidak</v>
      </c>
      <c r="Y41" s="9">
        <f t="shared" si="6"/>
        <v>0.899728076764301</v>
      </c>
      <c r="Z41" s="9">
        <f t="shared" si="7"/>
        <v>0.899728076764301</v>
      </c>
      <c r="AA41" s="9" t="str">
        <f t="shared" si="8"/>
        <v>tidak</v>
      </c>
      <c r="AB41" s="9">
        <f t="shared" si="9"/>
        <v>-0.20601829049288331</v>
      </c>
      <c r="AC41" s="9">
        <f t="shared" si="10"/>
        <v>0.20601829049288331</v>
      </c>
      <c r="AD41" s="9" t="str">
        <f t="shared" si="11"/>
        <v>tidak</v>
      </c>
      <c r="AE41" s="9">
        <f t="shared" si="12"/>
        <v>-0.37043779228888796</v>
      </c>
      <c r="AF41" s="9">
        <f t="shared" si="13"/>
        <v>0.37043779228888796</v>
      </c>
      <c r="AG41" s="9" t="str">
        <f t="shared" si="14"/>
        <v>tidak</v>
      </c>
      <c r="AH41" s="9">
        <f t="shared" si="15"/>
        <v>-1.4016382078316414</v>
      </c>
      <c r="AI41" s="9">
        <f t="shared" si="16"/>
        <v>1.4016382078316414</v>
      </c>
      <c r="AJ41" s="9" t="str">
        <f t="shared" si="17"/>
        <v>tidak</v>
      </c>
      <c r="AK41" s="9">
        <f t="shared" si="18"/>
        <v>1.2962329189693418</v>
      </c>
      <c r="AL41" s="9">
        <f t="shared" si="19"/>
        <v>1.2962329189693418</v>
      </c>
      <c r="AM41" s="9" t="str">
        <f t="shared" si="20"/>
        <v>tidak</v>
      </c>
      <c r="AO41" s="9">
        <f t="shared" si="21"/>
        <v>0.29038007897806978</v>
      </c>
      <c r="AP41" s="9">
        <f t="shared" si="22"/>
        <v>0.29038007897806978</v>
      </c>
      <c r="AQ41" s="9" t="str">
        <f t="shared" si="23"/>
        <v>tidak</v>
      </c>
    </row>
    <row r="42" spans="1:43" x14ac:dyDescent="0.35">
      <c r="A42" s="71"/>
      <c r="B42" s="1">
        <v>2021</v>
      </c>
      <c r="C42" s="24">
        <v>0.18537231835411186</v>
      </c>
      <c r="D42" s="20">
        <v>0.5714285714285714</v>
      </c>
      <c r="E42" s="25">
        <v>0</v>
      </c>
      <c r="F42" s="1">
        <v>1</v>
      </c>
      <c r="G42" s="1">
        <v>0</v>
      </c>
      <c r="H42" s="45">
        <f t="shared" si="2"/>
        <v>0</v>
      </c>
      <c r="J42" s="54">
        <v>-2.4415918259022992E-2</v>
      </c>
      <c r="V42" s="24">
        <f t="shared" si="24"/>
        <v>-0.17088499253085071</v>
      </c>
      <c r="W42" s="9">
        <f t="shared" si="4"/>
        <v>0.17088499253085071</v>
      </c>
      <c r="X42" s="9" t="str">
        <f t="shared" si="5"/>
        <v>tidak</v>
      </c>
      <c r="Y42" s="9">
        <f t="shared" si="6"/>
        <v>0.69822052670468682</v>
      </c>
      <c r="Z42" s="9">
        <f t="shared" si="7"/>
        <v>0.69822052670468682</v>
      </c>
      <c r="AA42" s="9" t="str">
        <f t="shared" si="8"/>
        <v>tidak</v>
      </c>
      <c r="AB42" s="9">
        <f t="shared" si="9"/>
        <v>0.3906557608139466</v>
      </c>
      <c r="AC42" s="9">
        <f t="shared" si="10"/>
        <v>0.3906557608139466</v>
      </c>
      <c r="AD42" s="9" t="str">
        <f t="shared" si="11"/>
        <v>tidak</v>
      </c>
      <c r="AE42" s="9">
        <f t="shared" si="12"/>
        <v>-0.37043779228888796</v>
      </c>
      <c r="AF42" s="9">
        <f t="shared" si="13"/>
        <v>0.37043779228888796</v>
      </c>
      <c r="AG42" s="9" t="str">
        <f t="shared" si="14"/>
        <v>tidak</v>
      </c>
      <c r="AH42" s="9">
        <f t="shared" si="15"/>
        <v>0.7083547932052382</v>
      </c>
      <c r="AI42" s="9">
        <f t="shared" si="16"/>
        <v>0.7083547932052382</v>
      </c>
      <c r="AJ42" s="9" t="str">
        <f t="shared" si="17"/>
        <v>tidak</v>
      </c>
      <c r="AK42" s="9">
        <f t="shared" si="18"/>
        <v>-0.76595581575461114</v>
      </c>
      <c r="AL42" s="9">
        <f t="shared" si="19"/>
        <v>0.76595581575461114</v>
      </c>
      <c r="AM42" s="9" t="str">
        <f t="shared" si="20"/>
        <v>tidak</v>
      </c>
      <c r="AO42" s="9">
        <f t="shared" si="21"/>
        <v>-6.2017212289177129E-2</v>
      </c>
      <c r="AP42" s="9">
        <f t="shared" si="22"/>
        <v>6.2017212289177129E-2</v>
      </c>
      <c r="AQ42" s="9" t="str">
        <f t="shared" si="23"/>
        <v>tidak</v>
      </c>
    </row>
    <row r="43" spans="1:43" x14ac:dyDescent="0.35">
      <c r="A43" s="71" t="s">
        <v>13</v>
      </c>
      <c r="B43" s="1">
        <v>2018</v>
      </c>
      <c r="C43" s="24">
        <v>6.7931799119470421E-2</v>
      </c>
      <c r="D43" s="20">
        <v>0.33333333333333331</v>
      </c>
      <c r="E43" s="25">
        <v>0</v>
      </c>
      <c r="F43" s="1">
        <v>1</v>
      </c>
      <c r="G43" s="1">
        <v>1</v>
      </c>
      <c r="H43" s="45">
        <f t="shared" si="2"/>
        <v>0</v>
      </c>
      <c r="J43" s="54">
        <v>0.12713977769178098</v>
      </c>
      <c r="V43" s="24">
        <f t="shared" si="24"/>
        <v>-0.17088499253085071</v>
      </c>
      <c r="W43" s="9">
        <f t="shared" si="4"/>
        <v>0.17088499253085071</v>
      </c>
      <c r="X43" s="9" t="str">
        <f t="shared" si="5"/>
        <v>tidak</v>
      </c>
      <c r="Y43" s="9">
        <f t="shared" si="6"/>
        <v>9.6168575534677905E-2</v>
      </c>
      <c r="Z43" s="9">
        <f t="shared" si="7"/>
        <v>9.6168575534677905E-2</v>
      </c>
      <c r="AA43" s="9" t="str">
        <f t="shared" si="8"/>
        <v>tidak</v>
      </c>
      <c r="AB43" s="9">
        <f t="shared" si="9"/>
        <v>-1.5982577435421539</v>
      </c>
      <c r="AC43" s="9">
        <f t="shared" si="10"/>
        <v>1.5982577435421539</v>
      </c>
      <c r="AD43" s="9" t="str">
        <f t="shared" si="11"/>
        <v>tidak</v>
      </c>
      <c r="AE43" s="9">
        <f t="shared" si="12"/>
        <v>-0.37043779228888796</v>
      </c>
      <c r="AF43" s="9">
        <f t="shared" si="13"/>
        <v>0.37043779228888796</v>
      </c>
      <c r="AG43" s="9" t="str">
        <f t="shared" si="14"/>
        <v>tidak</v>
      </c>
      <c r="AH43" s="9">
        <f t="shared" si="15"/>
        <v>0.7083547932052382</v>
      </c>
      <c r="AI43" s="9">
        <f t="shared" si="16"/>
        <v>0.7083547932052382</v>
      </c>
      <c r="AJ43" s="9" t="str">
        <f t="shared" si="17"/>
        <v>tidak</v>
      </c>
      <c r="AK43" s="9">
        <f t="shared" si="18"/>
        <v>1.2962329189693418</v>
      </c>
      <c r="AL43" s="9">
        <f t="shared" si="19"/>
        <v>1.2962329189693418</v>
      </c>
      <c r="AM43" s="9" t="str">
        <f t="shared" si="20"/>
        <v>tidak</v>
      </c>
      <c r="AO43" s="9">
        <f t="shared" si="21"/>
        <v>0.32147319895085463</v>
      </c>
      <c r="AP43" s="9">
        <f t="shared" si="22"/>
        <v>0.32147319895085463</v>
      </c>
      <c r="AQ43" s="9" t="str">
        <f t="shared" si="23"/>
        <v>tidak</v>
      </c>
    </row>
    <row r="44" spans="1:43" x14ac:dyDescent="0.35">
      <c r="A44" s="71"/>
      <c r="B44" s="1">
        <v>2019</v>
      </c>
      <c r="C44" s="24">
        <v>0.11494670143842602</v>
      </c>
      <c r="D44" s="20">
        <v>0.33333333333333331</v>
      </c>
      <c r="E44" s="25">
        <v>0</v>
      </c>
      <c r="F44" s="1">
        <v>0</v>
      </c>
      <c r="G44" s="1">
        <v>1</v>
      </c>
      <c r="H44" s="45">
        <f t="shared" si="2"/>
        <v>0</v>
      </c>
      <c r="J44" s="54">
        <v>6.9550104050011621E-2</v>
      </c>
      <c r="V44" s="24">
        <f t="shared" si="24"/>
        <v>-0.17088499253085071</v>
      </c>
      <c r="W44" s="9">
        <f t="shared" si="4"/>
        <v>0.17088499253085071</v>
      </c>
      <c r="X44" s="9" t="str">
        <f t="shared" si="5"/>
        <v>tidak</v>
      </c>
      <c r="Y44" s="9">
        <f t="shared" si="6"/>
        <v>0.33718772173447903</v>
      </c>
      <c r="Z44" s="9">
        <f t="shared" si="7"/>
        <v>0.33718772173447903</v>
      </c>
      <c r="AA44" s="9" t="str">
        <f t="shared" si="8"/>
        <v>tidak</v>
      </c>
      <c r="AB44" s="9">
        <f t="shared" si="9"/>
        <v>-1.5982577435421539</v>
      </c>
      <c r="AC44" s="9">
        <f t="shared" si="10"/>
        <v>1.5982577435421539</v>
      </c>
      <c r="AD44" s="9" t="str">
        <f t="shared" si="11"/>
        <v>tidak</v>
      </c>
      <c r="AE44" s="9">
        <f t="shared" si="12"/>
        <v>-0.37043779228888796</v>
      </c>
      <c r="AF44" s="9">
        <f t="shared" si="13"/>
        <v>0.37043779228888796</v>
      </c>
      <c r="AG44" s="9" t="str">
        <f t="shared" si="14"/>
        <v>tidak</v>
      </c>
      <c r="AH44" s="9">
        <f t="shared" si="15"/>
        <v>-1.4016382078316414</v>
      </c>
      <c r="AI44" s="9">
        <f t="shared" si="16"/>
        <v>1.4016382078316414</v>
      </c>
      <c r="AJ44" s="9" t="str">
        <f t="shared" si="17"/>
        <v>tidak</v>
      </c>
      <c r="AK44" s="9">
        <f t="shared" si="18"/>
        <v>1.2962329189693418</v>
      </c>
      <c r="AL44" s="9">
        <f t="shared" si="19"/>
        <v>1.2962329189693418</v>
      </c>
      <c r="AM44" s="9" t="str">
        <f t="shared" si="20"/>
        <v>tidak</v>
      </c>
      <c r="AO44" s="9">
        <f t="shared" si="21"/>
        <v>0.17575061498917813</v>
      </c>
      <c r="AP44" s="9">
        <f t="shared" si="22"/>
        <v>0.17575061498917813</v>
      </c>
      <c r="AQ44" s="9" t="str">
        <f t="shared" si="23"/>
        <v>tidak</v>
      </c>
    </row>
    <row r="45" spans="1:43" x14ac:dyDescent="0.35">
      <c r="A45" s="71"/>
      <c r="B45" s="1">
        <v>2020</v>
      </c>
      <c r="C45" s="24">
        <v>-0.16762151209847875</v>
      </c>
      <c r="D45" s="20">
        <v>0.33333333333333331</v>
      </c>
      <c r="E45" s="25">
        <v>0</v>
      </c>
      <c r="F45" s="1">
        <v>1</v>
      </c>
      <c r="G45" s="1">
        <v>1</v>
      </c>
      <c r="H45" s="45">
        <f t="shared" si="2"/>
        <v>0</v>
      </c>
      <c r="J45" s="54">
        <v>-7.5498452534777022E-2</v>
      </c>
      <c r="V45" s="24">
        <f t="shared" si="24"/>
        <v>-0.17088499253085071</v>
      </c>
      <c r="W45" s="9">
        <f t="shared" si="4"/>
        <v>0.17088499253085071</v>
      </c>
      <c r="X45" s="9" t="str">
        <f t="shared" si="5"/>
        <v>tidak</v>
      </c>
      <c r="Y45" s="9">
        <f t="shared" si="6"/>
        <v>-1.1113816937210408</v>
      </c>
      <c r="Z45" s="9">
        <f t="shared" si="7"/>
        <v>1.1113816937210408</v>
      </c>
      <c r="AA45" s="9" t="str">
        <f t="shared" si="8"/>
        <v>tidak</v>
      </c>
      <c r="AB45" s="9">
        <f t="shared" si="9"/>
        <v>-1.5982577435421539</v>
      </c>
      <c r="AC45" s="9">
        <f t="shared" si="10"/>
        <v>1.5982577435421539</v>
      </c>
      <c r="AD45" s="9" t="str">
        <f t="shared" si="11"/>
        <v>tidak</v>
      </c>
      <c r="AE45" s="9">
        <f t="shared" si="12"/>
        <v>-0.37043779228888796</v>
      </c>
      <c r="AF45" s="9">
        <f t="shared" si="13"/>
        <v>0.37043779228888796</v>
      </c>
      <c r="AG45" s="9" t="str">
        <f t="shared" si="14"/>
        <v>tidak</v>
      </c>
      <c r="AH45" s="9">
        <f t="shared" si="15"/>
        <v>0.7083547932052382</v>
      </c>
      <c r="AI45" s="9">
        <f t="shared" si="16"/>
        <v>0.7083547932052382</v>
      </c>
      <c r="AJ45" s="9" t="str">
        <f t="shared" si="17"/>
        <v>tidak</v>
      </c>
      <c r="AK45" s="9">
        <f t="shared" si="18"/>
        <v>1.2962329189693418</v>
      </c>
      <c r="AL45" s="9">
        <f t="shared" si="19"/>
        <v>1.2962329189693418</v>
      </c>
      <c r="AM45" s="9" t="str">
        <f t="shared" si="20"/>
        <v>tidak</v>
      </c>
      <c r="AO45" s="9">
        <f t="shared" si="21"/>
        <v>-0.19127439364216878</v>
      </c>
      <c r="AP45" s="9">
        <f t="shared" si="22"/>
        <v>0.19127439364216878</v>
      </c>
      <c r="AQ45" s="9" t="str">
        <f t="shared" si="23"/>
        <v>tidak</v>
      </c>
    </row>
    <row r="46" spans="1:43" x14ac:dyDescent="0.35">
      <c r="A46" s="71"/>
      <c r="B46" s="1">
        <v>2021</v>
      </c>
      <c r="C46" s="24">
        <v>-0.18831787180744997</v>
      </c>
      <c r="D46" s="20">
        <v>0.33333333333333331</v>
      </c>
      <c r="E46" s="25">
        <v>1</v>
      </c>
      <c r="F46" s="1">
        <v>0</v>
      </c>
      <c r="G46" s="1">
        <v>1</v>
      </c>
      <c r="H46" s="45">
        <f t="shared" si="2"/>
        <v>0</v>
      </c>
      <c r="J46" s="54">
        <v>0.18075765245189199</v>
      </c>
      <c r="V46" s="24">
        <f t="shared" si="24"/>
        <v>-0.17088499253085071</v>
      </c>
      <c r="W46" s="9">
        <f t="shared" si="4"/>
        <v>0.17088499253085071</v>
      </c>
      <c r="X46" s="9" t="str">
        <f t="shared" si="5"/>
        <v>tidak</v>
      </c>
      <c r="Y46" s="9">
        <f t="shared" si="6"/>
        <v>-1.2174803709587267</v>
      </c>
      <c r="Z46" s="9">
        <f t="shared" si="7"/>
        <v>1.2174803709587267</v>
      </c>
      <c r="AA46" s="9" t="str">
        <f t="shared" si="8"/>
        <v>tidak</v>
      </c>
      <c r="AB46" s="9">
        <f t="shared" si="9"/>
        <v>-1.5982577435421539</v>
      </c>
      <c r="AC46" s="9">
        <f t="shared" si="10"/>
        <v>1.5982577435421539</v>
      </c>
      <c r="AD46" s="9" t="str">
        <f t="shared" si="11"/>
        <v>tidak</v>
      </c>
      <c r="AE46" s="9">
        <f t="shared" si="12"/>
        <v>2.6802263795019541</v>
      </c>
      <c r="AF46" s="9">
        <f t="shared" si="13"/>
        <v>2.6802263795019541</v>
      </c>
      <c r="AG46" s="9" t="str">
        <f t="shared" si="14"/>
        <v>tidak</v>
      </c>
      <c r="AH46" s="9">
        <f t="shared" si="15"/>
        <v>-1.4016382078316414</v>
      </c>
      <c r="AI46" s="9">
        <f t="shared" si="16"/>
        <v>1.4016382078316414</v>
      </c>
      <c r="AJ46" s="9" t="str">
        <f t="shared" si="17"/>
        <v>tidak</v>
      </c>
      <c r="AK46" s="9">
        <f t="shared" si="18"/>
        <v>1.2962329189693418</v>
      </c>
      <c r="AL46" s="9">
        <f t="shared" si="19"/>
        <v>1.2962329189693418</v>
      </c>
      <c r="AM46" s="9" t="str">
        <f t="shared" si="20"/>
        <v>tidak</v>
      </c>
      <c r="AO46" s="9">
        <f t="shared" si="21"/>
        <v>0.45714570345537708</v>
      </c>
      <c r="AP46" s="9">
        <f t="shared" si="22"/>
        <v>0.45714570345537708</v>
      </c>
      <c r="AQ46" s="9" t="str">
        <f t="shared" si="23"/>
        <v>tidak</v>
      </c>
    </row>
    <row r="47" spans="1:43" x14ac:dyDescent="0.35">
      <c r="A47" s="71" t="s">
        <v>14</v>
      </c>
      <c r="B47" s="1">
        <v>2018</v>
      </c>
      <c r="C47" s="24">
        <v>4.6719106799968234E-2</v>
      </c>
      <c r="D47" s="20">
        <v>0.66666666666666663</v>
      </c>
      <c r="E47" s="25">
        <v>0</v>
      </c>
      <c r="F47" s="1">
        <v>1</v>
      </c>
      <c r="G47" s="1">
        <v>1</v>
      </c>
      <c r="H47" s="45">
        <f t="shared" si="2"/>
        <v>0</v>
      </c>
      <c r="J47" s="54">
        <v>-0.19688577179213587</v>
      </c>
      <c r="V47" s="24">
        <f t="shared" si="24"/>
        <v>-0.17088499253085071</v>
      </c>
      <c r="W47" s="9">
        <f t="shared" si="4"/>
        <v>0.17088499253085071</v>
      </c>
      <c r="X47" s="9" t="str">
        <f t="shared" si="5"/>
        <v>tidak</v>
      </c>
      <c r="Y47" s="9">
        <f t="shared" si="6"/>
        <v>-1.2577050623608447E-2</v>
      </c>
      <c r="Z47" s="9">
        <f t="shared" si="7"/>
        <v>1.2577050623608447E-2</v>
      </c>
      <c r="AA47" s="9" t="str">
        <f t="shared" si="8"/>
        <v>tidak</v>
      </c>
      <c r="AB47" s="9">
        <f t="shared" si="9"/>
        <v>1.1862211625563868</v>
      </c>
      <c r="AC47" s="9">
        <f t="shared" si="10"/>
        <v>1.1862211625563868</v>
      </c>
      <c r="AD47" s="9" t="str">
        <f t="shared" si="11"/>
        <v>tidak</v>
      </c>
      <c r="AE47" s="9">
        <f t="shared" si="12"/>
        <v>-0.37043779228888796</v>
      </c>
      <c r="AF47" s="9">
        <f t="shared" si="13"/>
        <v>0.37043779228888796</v>
      </c>
      <c r="AG47" s="9" t="str">
        <f t="shared" si="14"/>
        <v>tidak</v>
      </c>
      <c r="AH47" s="9">
        <f t="shared" si="15"/>
        <v>0.7083547932052382</v>
      </c>
      <c r="AI47" s="9">
        <f t="shared" si="16"/>
        <v>0.7083547932052382</v>
      </c>
      <c r="AJ47" s="9" t="str">
        <f t="shared" si="17"/>
        <v>tidak</v>
      </c>
      <c r="AK47" s="9">
        <f t="shared" si="18"/>
        <v>1.2962329189693418</v>
      </c>
      <c r="AL47" s="9">
        <f t="shared" si="19"/>
        <v>1.2962329189693418</v>
      </c>
      <c r="AM47" s="9" t="str">
        <f t="shared" si="20"/>
        <v>tidak</v>
      </c>
      <c r="AO47" s="9">
        <f t="shared" si="21"/>
        <v>-0.49842796308927362</v>
      </c>
      <c r="AP47" s="9">
        <f t="shared" si="22"/>
        <v>0.49842796308927362</v>
      </c>
      <c r="AQ47" s="9" t="str">
        <f t="shared" si="23"/>
        <v>tidak</v>
      </c>
    </row>
    <row r="48" spans="1:43" x14ac:dyDescent="0.35">
      <c r="A48" s="71"/>
      <c r="B48" s="1">
        <v>2019</v>
      </c>
      <c r="C48" s="24">
        <v>9.4173569985051102E-3</v>
      </c>
      <c r="D48" s="20">
        <v>0.66666666666666663</v>
      </c>
      <c r="E48" s="25">
        <v>0</v>
      </c>
      <c r="F48" s="1">
        <v>1</v>
      </c>
      <c r="G48" s="1">
        <v>0</v>
      </c>
      <c r="H48" s="45">
        <f t="shared" si="2"/>
        <v>0</v>
      </c>
      <c r="J48" s="54">
        <v>-0.17730185936597023</v>
      </c>
      <c r="V48" s="24">
        <f t="shared" si="24"/>
        <v>-0.17088499253085071</v>
      </c>
      <c r="W48" s="9">
        <f t="shared" si="4"/>
        <v>0.17088499253085071</v>
      </c>
      <c r="X48" s="9" t="str">
        <f t="shared" si="5"/>
        <v>tidak</v>
      </c>
      <c r="Y48" s="9">
        <f t="shared" si="6"/>
        <v>-0.20380228869631317</v>
      </c>
      <c r="Z48" s="9">
        <f t="shared" si="7"/>
        <v>0.20380228869631317</v>
      </c>
      <c r="AA48" s="9" t="str">
        <f t="shared" si="8"/>
        <v>tidak</v>
      </c>
      <c r="AB48" s="9">
        <f t="shared" si="9"/>
        <v>1.1862211625563868</v>
      </c>
      <c r="AC48" s="9">
        <f t="shared" si="10"/>
        <v>1.1862211625563868</v>
      </c>
      <c r="AD48" s="9" t="str">
        <f t="shared" si="11"/>
        <v>tidak</v>
      </c>
      <c r="AE48" s="9">
        <f t="shared" si="12"/>
        <v>-0.37043779228888796</v>
      </c>
      <c r="AF48" s="9">
        <f t="shared" si="13"/>
        <v>0.37043779228888796</v>
      </c>
      <c r="AG48" s="9" t="str">
        <f t="shared" si="14"/>
        <v>tidak</v>
      </c>
      <c r="AH48" s="9">
        <f t="shared" si="15"/>
        <v>0.7083547932052382</v>
      </c>
      <c r="AI48" s="9">
        <f t="shared" si="16"/>
        <v>0.7083547932052382</v>
      </c>
      <c r="AJ48" s="9" t="str">
        <f t="shared" si="17"/>
        <v>tidak</v>
      </c>
      <c r="AK48" s="9">
        <f t="shared" si="18"/>
        <v>-0.76595581575461114</v>
      </c>
      <c r="AL48" s="9">
        <f t="shared" si="19"/>
        <v>0.76595581575461114</v>
      </c>
      <c r="AM48" s="9" t="str">
        <f t="shared" si="20"/>
        <v>tidak</v>
      </c>
      <c r="AO48" s="9">
        <f t="shared" si="21"/>
        <v>-0.44887362213968035</v>
      </c>
      <c r="AP48" s="9">
        <f t="shared" si="22"/>
        <v>0.44887362213968035</v>
      </c>
      <c r="AQ48" s="9" t="str">
        <f t="shared" si="23"/>
        <v>tidak</v>
      </c>
    </row>
    <row r="49" spans="1:43" x14ac:dyDescent="0.35">
      <c r="A49" s="71"/>
      <c r="B49" s="1">
        <v>2020</v>
      </c>
      <c r="C49" s="24">
        <v>-0.1390526507868963</v>
      </c>
      <c r="D49" s="20">
        <v>0.66666666666666663</v>
      </c>
      <c r="E49" s="25">
        <v>0</v>
      </c>
      <c r="F49" s="1">
        <v>0</v>
      </c>
      <c r="G49" s="1">
        <v>0</v>
      </c>
      <c r="H49" s="45">
        <f t="shared" si="2"/>
        <v>0</v>
      </c>
      <c r="J49" s="54">
        <v>0.17028232945247054</v>
      </c>
      <c r="V49" s="24">
        <f t="shared" si="24"/>
        <v>-0.17088499253085071</v>
      </c>
      <c r="W49" s="9">
        <f t="shared" si="4"/>
        <v>0.17088499253085071</v>
      </c>
      <c r="X49" s="9" t="str">
        <f t="shared" si="5"/>
        <v>tidak</v>
      </c>
      <c r="Y49" s="9">
        <f t="shared" si="6"/>
        <v>-0.96492509758679845</v>
      </c>
      <c r="Z49" s="9">
        <f t="shared" si="7"/>
        <v>0.96492509758679845</v>
      </c>
      <c r="AA49" s="9" t="str">
        <f t="shared" si="8"/>
        <v>tidak</v>
      </c>
      <c r="AB49" s="9">
        <f t="shared" si="9"/>
        <v>1.1862211625563868</v>
      </c>
      <c r="AC49" s="9">
        <f t="shared" si="10"/>
        <v>1.1862211625563868</v>
      </c>
      <c r="AD49" s="9" t="str">
        <f t="shared" si="11"/>
        <v>tidak</v>
      </c>
      <c r="AE49" s="9">
        <f t="shared" si="12"/>
        <v>-0.37043779228888796</v>
      </c>
      <c r="AF49" s="9">
        <f t="shared" si="13"/>
        <v>0.37043779228888796</v>
      </c>
      <c r="AG49" s="9" t="str">
        <f t="shared" si="14"/>
        <v>tidak</v>
      </c>
      <c r="AH49" s="9">
        <f t="shared" si="15"/>
        <v>-1.4016382078316414</v>
      </c>
      <c r="AI49" s="9">
        <f t="shared" si="16"/>
        <v>1.4016382078316414</v>
      </c>
      <c r="AJ49" s="9" t="str">
        <f t="shared" si="17"/>
        <v>tidak</v>
      </c>
      <c r="AK49" s="9">
        <f t="shared" si="18"/>
        <v>-0.76595581575461114</v>
      </c>
      <c r="AL49" s="9">
        <f t="shared" si="19"/>
        <v>0.76595581575461114</v>
      </c>
      <c r="AM49" s="9" t="str">
        <f t="shared" si="20"/>
        <v>tidak</v>
      </c>
      <c r="AO49" s="9">
        <f t="shared" si="21"/>
        <v>0.43063936926768481</v>
      </c>
      <c r="AP49" s="9">
        <f t="shared" si="22"/>
        <v>0.43063936926768481</v>
      </c>
      <c r="AQ49" s="9" t="str">
        <f t="shared" si="23"/>
        <v>tidak</v>
      </c>
    </row>
    <row r="50" spans="1:43" x14ac:dyDescent="0.35">
      <c r="A50" s="71"/>
      <c r="B50" s="1">
        <v>2021</v>
      </c>
      <c r="C50" s="24">
        <v>-4.8596339779269956E-2</v>
      </c>
      <c r="D50" s="20">
        <v>0.66666666666666663</v>
      </c>
      <c r="E50" s="25">
        <v>1</v>
      </c>
      <c r="F50" s="1">
        <v>0</v>
      </c>
      <c r="G50" s="1">
        <v>0</v>
      </c>
      <c r="H50" s="45">
        <f t="shared" si="2"/>
        <v>0</v>
      </c>
      <c r="J50" s="54">
        <v>0.36225582757375091</v>
      </c>
      <c r="V50" s="24">
        <f t="shared" si="24"/>
        <v>-0.17088499253085071</v>
      </c>
      <c r="W50" s="9">
        <f t="shared" si="4"/>
        <v>0.17088499253085071</v>
      </c>
      <c r="X50" s="9" t="str">
        <f t="shared" si="5"/>
        <v>tidak</v>
      </c>
      <c r="Y50" s="9">
        <f t="shared" si="6"/>
        <v>-0.50120611122081582</v>
      </c>
      <c r="Z50" s="9">
        <f t="shared" si="7"/>
        <v>0.50120611122081582</v>
      </c>
      <c r="AA50" s="9" t="str">
        <f t="shared" si="8"/>
        <v>tidak</v>
      </c>
      <c r="AB50" s="9">
        <f t="shared" si="9"/>
        <v>1.1862211625563868</v>
      </c>
      <c r="AC50" s="9">
        <f t="shared" si="10"/>
        <v>1.1862211625563868</v>
      </c>
      <c r="AD50" s="9" t="str">
        <f t="shared" si="11"/>
        <v>tidak</v>
      </c>
      <c r="AE50" s="9">
        <f t="shared" si="12"/>
        <v>2.6802263795019541</v>
      </c>
      <c r="AF50" s="9">
        <f t="shared" si="13"/>
        <v>2.6802263795019541</v>
      </c>
      <c r="AG50" s="9" t="str">
        <f t="shared" si="14"/>
        <v>tidak</v>
      </c>
      <c r="AH50" s="9">
        <f t="shared" si="15"/>
        <v>-1.4016382078316414</v>
      </c>
      <c r="AI50" s="9">
        <f t="shared" si="16"/>
        <v>1.4016382078316414</v>
      </c>
      <c r="AJ50" s="9" t="str">
        <f t="shared" si="17"/>
        <v>tidak</v>
      </c>
      <c r="AK50" s="9">
        <f t="shared" si="18"/>
        <v>-0.76595581575461114</v>
      </c>
      <c r="AL50" s="9">
        <f t="shared" si="19"/>
        <v>0.76595581575461114</v>
      </c>
      <c r="AM50" s="9" t="str">
        <f t="shared" si="20"/>
        <v>tidak</v>
      </c>
      <c r="AO50" s="9">
        <f t="shared" si="21"/>
        <v>0.91640135452236526</v>
      </c>
      <c r="AP50" s="9">
        <f t="shared" si="22"/>
        <v>0.91640135452236526</v>
      </c>
      <c r="AQ50" s="9" t="str">
        <f t="shared" si="23"/>
        <v>tidak</v>
      </c>
    </row>
    <row r="51" spans="1:43" x14ac:dyDescent="0.35">
      <c r="A51" s="71" t="s">
        <v>15</v>
      </c>
      <c r="B51" s="1">
        <v>2018</v>
      </c>
      <c r="C51" s="24">
        <v>0.1225811855181395</v>
      </c>
      <c r="D51" s="20">
        <v>0.5</v>
      </c>
      <c r="E51" s="25">
        <v>0</v>
      </c>
      <c r="F51" s="1">
        <v>0</v>
      </c>
      <c r="G51" s="1">
        <v>0</v>
      </c>
      <c r="H51" s="45">
        <f t="shared" si="2"/>
        <v>0</v>
      </c>
      <c r="J51" s="54">
        <v>0.35474075124416754</v>
      </c>
      <c r="V51" s="24">
        <f t="shared" si="24"/>
        <v>-0.17088499253085071</v>
      </c>
      <c r="W51" s="9">
        <f t="shared" si="4"/>
        <v>0.17088499253085071</v>
      </c>
      <c r="X51" s="9" t="str">
        <f t="shared" si="5"/>
        <v>tidak</v>
      </c>
      <c r="Y51" s="9">
        <f t="shared" si="6"/>
        <v>0.37632545772476816</v>
      </c>
      <c r="Z51" s="9">
        <f t="shared" si="7"/>
        <v>0.37632545772476816</v>
      </c>
      <c r="AA51" s="9" t="str">
        <f t="shared" si="8"/>
        <v>tidak</v>
      </c>
      <c r="AB51" s="9">
        <f t="shared" si="9"/>
        <v>-0.20601829049288331</v>
      </c>
      <c r="AC51" s="9">
        <f t="shared" si="10"/>
        <v>0.20601829049288331</v>
      </c>
      <c r="AD51" s="9" t="str">
        <f t="shared" si="11"/>
        <v>tidak</v>
      </c>
      <c r="AE51" s="9">
        <f t="shared" si="12"/>
        <v>-0.37043779228888796</v>
      </c>
      <c r="AF51" s="9">
        <f t="shared" si="13"/>
        <v>0.37043779228888796</v>
      </c>
      <c r="AG51" s="9" t="str">
        <f t="shared" si="14"/>
        <v>tidak</v>
      </c>
      <c r="AH51" s="9">
        <f t="shared" si="15"/>
        <v>-1.4016382078316414</v>
      </c>
      <c r="AI51" s="9">
        <f t="shared" si="16"/>
        <v>1.4016382078316414</v>
      </c>
      <c r="AJ51" s="9" t="str">
        <f t="shared" si="17"/>
        <v>tidak</v>
      </c>
      <c r="AK51" s="9">
        <f t="shared" si="18"/>
        <v>-0.76595581575461114</v>
      </c>
      <c r="AL51" s="9">
        <f t="shared" si="19"/>
        <v>0.76595581575461114</v>
      </c>
      <c r="AM51" s="9" t="str">
        <f t="shared" si="20"/>
        <v>tidak</v>
      </c>
      <c r="AO51" s="9">
        <f t="shared" si="21"/>
        <v>0.8973855089346966</v>
      </c>
      <c r="AP51" s="9">
        <f t="shared" si="22"/>
        <v>0.8973855089346966</v>
      </c>
      <c r="AQ51" s="9" t="str">
        <f t="shared" si="23"/>
        <v>tidak</v>
      </c>
    </row>
    <row r="52" spans="1:43" x14ac:dyDescent="0.35">
      <c r="A52" s="71"/>
      <c r="B52" s="1">
        <v>2019</v>
      </c>
      <c r="C52" s="24">
        <v>9.1342290985658561E-2</v>
      </c>
      <c r="D52" s="20">
        <v>0.5</v>
      </c>
      <c r="E52" s="25">
        <v>1</v>
      </c>
      <c r="F52" s="1">
        <v>0</v>
      </c>
      <c r="G52" s="1">
        <v>0</v>
      </c>
      <c r="H52" s="45">
        <f t="shared" si="2"/>
        <v>0</v>
      </c>
      <c r="J52" s="54">
        <v>7.4513388019390892E-2</v>
      </c>
      <c r="V52" s="24">
        <f t="shared" si="24"/>
        <v>-0.17088499253085071</v>
      </c>
      <c r="W52" s="9">
        <f t="shared" si="4"/>
        <v>0.17088499253085071</v>
      </c>
      <c r="X52" s="9" t="str">
        <f t="shared" si="5"/>
        <v>tidak</v>
      </c>
      <c r="Y52" s="9">
        <f t="shared" si="6"/>
        <v>0.21618109248999115</v>
      </c>
      <c r="Z52" s="9">
        <f t="shared" si="7"/>
        <v>0.21618109248999115</v>
      </c>
      <c r="AA52" s="9" t="str">
        <f t="shared" si="8"/>
        <v>tidak</v>
      </c>
      <c r="AB52" s="9">
        <f t="shared" si="9"/>
        <v>-0.20601829049288331</v>
      </c>
      <c r="AC52" s="9">
        <f t="shared" si="10"/>
        <v>0.20601829049288331</v>
      </c>
      <c r="AD52" s="9" t="str">
        <f t="shared" si="11"/>
        <v>tidak</v>
      </c>
      <c r="AE52" s="9">
        <f t="shared" si="12"/>
        <v>2.6802263795019541</v>
      </c>
      <c r="AF52" s="9">
        <f t="shared" si="13"/>
        <v>2.6802263795019541</v>
      </c>
      <c r="AG52" s="9" t="str">
        <f t="shared" si="14"/>
        <v>tidak</v>
      </c>
      <c r="AH52" s="9">
        <f t="shared" si="15"/>
        <v>-1.4016382078316414</v>
      </c>
      <c r="AI52" s="9">
        <f t="shared" si="16"/>
        <v>1.4016382078316414</v>
      </c>
      <c r="AJ52" s="9" t="str">
        <f t="shared" si="17"/>
        <v>tidak</v>
      </c>
      <c r="AK52" s="9">
        <f t="shared" si="18"/>
        <v>-0.76595581575461114</v>
      </c>
      <c r="AL52" s="9">
        <f t="shared" si="19"/>
        <v>0.76595581575461114</v>
      </c>
      <c r="AM52" s="9" t="str">
        <f t="shared" si="20"/>
        <v>tidak</v>
      </c>
      <c r="AO52" s="9">
        <f t="shared" si="21"/>
        <v>0.18830950826321358</v>
      </c>
      <c r="AP52" s="9">
        <f t="shared" si="22"/>
        <v>0.18830950826321358</v>
      </c>
      <c r="AQ52" s="9" t="str">
        <f t="shared" si="23"/>
        <v>tidak</v>
      </c>
    </row>
    <row r="53" spans="1:43" x14ac:dyDescent="0.35">
      <c r="A53" s="71"/>
      <c r="B53" s="1">
        <v>2020</v>
      </c>
      <c r="C53" s="24">
        <v>-9.903231069755361E-2</v>
      </c>
      <c r="D53" s="20">
        <v>0.5</v>
      </c>
      <c r="E53" s="25">
        <v>0</v>
      </c>
      <c r="F53" s="1">
        <v>0</v>
      </c>
      <c r="G53" s="1">
        <v>0</v>
      </c>
      <c r="H53" s="45">
        <f t="shared" si="2"/>
        <v>0</v>
      </c>
      <c r="J53" s="54">
        <v>-9.4826326553697216E-4</v>
      </c>
      <c r="V53" s="24">
        <f t="shared" si="24"/>
        <v>-0.17088499253085071</v>
      </c>
      <c r="W53" s="9">
        <f t="shared" si="4"/>
        <v>0.17088499253085071</v>
      </c>
      <c r="X53" s="9" t="str">
        <f t="shared" si="5"/>
        <v>tidak</v>
      </c>
      <c r="Y53" s="9">
        <f t="shared" si="6"/>
        <v>-0.75976316545044098</v>
      </c>
      <c r="Z53" s="9">
        <f t="shared" si="7"/>
        <v>0.75976316545044098</v>
      </c>
      <c r="AA53" s="9" t="str">
        <f t="shared" si="8"/>
        <v>tidak</v>
      </c>
      <c r="AB53" s="9">
        <f t="shared" si="9"/>
        <v>-0.20601829049288331</v>
      </c>
      <c r="AC53" s="9">
        <f t="shared" si="10"/>
        <v>0.20601829049288331</v>
      </c>
      <c r="AD53" s="9" t="str">
        <f t="shared" si="11"/>
        <v>tidak</v>
      </c>
      <c r="AE53" s="9">
        <f t="shared" si="12"/>
        <v>-0.37043779228888796</v>
      </c>
      <c r="AF53" s="9">
        <f t="shared" si="13"/>
        <v>0.37043779228888796</v>
      </c>
      <c r="AG53" s="9" t="str">
        <f t="shared" si="14"/>
        <v>tidak</v>
      </c>
      <c r="AH53" s="9">
        <f t="shared" si="15"/>
        <v>-1.4016382078316414</v>
      </c>
      <c r="AI53" s="9">
        <f t="shared" si="16"/>
        <v>1.4016382078316414</v>
      </c>
      <c r="AJ53" s="9" t="str">
        <f t="shared" si="17"/>
        <v>tidak</v>
      </c>
      <c r="AK53" s="9">
        <f t="shared" si="18"/>
        <v>-0.76595581575461114</v>
      </c>
      <c r="AL53" s="9">
        <f t="shared" si="19"/>
        <v>0.76595581575461114</v>
      </c>
      <c r="AM53" s="9" t="str">
        <f t="shared" si="20"/>
        <v>tidak</v>
      </c>
      <c r="AO53" s="9">
        <f t="shared" si="21"/>
        <v>-2.6356060233692262E-3</v>
      </c>
      <c r="AP53" s="9">
        <f t="shared" si="22"/>
        <v>2.6356060233692262E-3</v>
      </c>
      <c r="AQ53" s="9" t="str">
        <f t="shared" si="23"/>
        <v>tidak</v>
      </c>
    </row>
    <row r="54" spans="1:43" x14ac:dyDescent="0.35">
      <c r="A54" s="71"/>
      <c r="B54" s="1">
        <v>2021</v>
      </c>
      <c r="C54" s="24">
        <v>-0.34747583337594584</v>
      </c>
      <c r="D54" s="20">
        <v>0.33333333333333331</v>
      </c>
      <c r="E54" s="25">
        <v>0</v>
      </c>
      <c r="F54" s="1">
        <v>1</v>
      </c>
      <c r="G54" s="1">
        <v>1</v>
      </c>
      <c r="H54" s="45">
        <f t="shared" si="2"/>
        <v>0</v>
      </c>
      <c r="J54" s="54">
        <v>6.6581626433572932E-2</v>
      </c>
      <c r="V54" s="24">
        <f t="shared" si="24"/>
        <v>-0.17088499253085071</v>
      </c>
      <c r="W54" s="9">
        <f t="shared" si="4"/>
        <v>0.17088499253085071</v>
      </c>
      <c r="X54" s="9" t="str">
        <f t="shared" si="5"/>
        <v>tidak</v>
      </c>
      <c r="Y54" s="9">
        <f t="shared" si="6"/>
        <v>-2.0333943496350897</v>
      </c>
      <c r="Z54" s="9">
        <f t="shared" si="7"/>
        <v>2.0333943496350897</v>
      </c>
      <c r="AA54" s="9" t="str">
        <f t="shared" si="8"/>
        <v>tidak</v>
      </c>
      <c r="AB54" s="9">
        <f t="shared" si="9"/>
        <v>-1.5982577435421539</v>
      </c>
      <c r="AC54" s="9">
        <f t="shared" si="10"/>
        <v>1.5982577435421539</v>
      </c>
      <c r="AD54" s="9" t="str">
        <f t="shared" si="11"/>
        <v>tidak</v>
      </c>
      <c r="AE54" s="9">
        <f t="shared" si="12"/>
        <v>-0.37043779228888796</v>
      </c>
      <c r="AF54" s="9">
        <f t="shared" si="13"/>
        <v>0.37043779228888796</v>
      </c>
      <c r="AG54" s="9" t="str">
        <f t="shared" si="14"/>
        <v>tidak</v>
      </c>
      <c r="AH54" s="9">
        <f t="shared" si="15"/>
        <v>0.7083547932052382</v>
      </c>
      <c r="AI54" s="9">
        <f t="shared" si="16"/>
        <v>0.7083547932052382</v>
      </c>
      <c r="AJ54" s="9" t="str">
        <f t="shared" si="17"/>
        <v>tidak</v>
      </c>
      <c r="AK54" s="9">
        <f t="shared" si="18"/>
        <v>1.2962329189693418</v>
      </c>
      <c r="AL54" s="9">
        <f t="shared" si="19"/>
        <v>1.2962329189693418</v>
      </c>
      <c r="AM54" s="9" t="str">
        <f t="shared" si="20"/>
        <v>tidak</v>
      </c>
      <c r="AO54" s="9">
        <f t="shared" si="21"/>
        <v>0.16823929913434921</v>
      </c>
      <c r="AP54" s="9">
        <f t="shared" si="22"/>
        <v>0.16823929913434921</v>
      </c>
      <c r="AQ54" s="9" t="str">
        <f t="shared" si="23"/>
        <v>tidak</v>
      </c>
    </row>
    <row r="55" spans="1:43" x14ac:dyDescent="0.35">
      <c r="A55" s="71" t="s">
        <v>16</v>
      </c>
      <c r="B55" s="1">
        <v>2018</v>
      </c>
      <c r="C55" s="24">
        <v>-0.4128538653375588</v>
      </c>
      <c r="D55" s="20">
        <v>0.33333333333333331</v>
      </c>
      <c r="E55" s="25">
        <v>0</v>
      </c>
      <c r="F55" s="1">
        <v>1</v>
      </c>
      <c r="G55" s="1">
        <v>0</v>
      </c>
      <c r="H55" s="45">
        <f t="shared" si="2"/>
        <v>0</v>
      </c>
      <c r="J55" s="54">
        <v>-0.43485301789872277</v>
      </c>
      <c r="V55" s="24">
        <f t="shared" si="24"/>
        <v>-0.17088499253085071</v>
      </c>
      <c r="W55" s="9">
        <f t="shared" si="4"/>
        <v>0.17088499253085071</v>
      </c>
      <c r="X55" s="9" t="str">
        <f t="shared" si="5"/>
        <v>tidak</v>
      </c>
      <c r="Y55" s="9">
        <f t="shared" si="6"/>
        <v>-2.3685510056398429</v>
      </c>
      <c r="Z55" s="9">
        <f t="shared" si="7"/>
        <v>2.3685510056398429</v>
      </c>
      <c r="AA55" s="9" t="str">
        <f t="shared" si="8"/>
        <v>tidak</v>
      </c>
      <c r="AB55" s="9">
        <f t="shared" si="9"/>
        <v>-1.5982577435421539</v>
      </c>
      <c r="AC55" s="9">
        <f t="shared" si="10"/>
        <v>1.5982577435421539</v>
      </c>
      <c r="AD55" s="9" t="str">
        <f t="shared" si="11"/>
        <v>tidak</v>
      </c>
      <c r="AE55" s="9">
        <f t="shared" si="12"/>
        <v>-0.37043779228888796</v>
      </c>
      <c r="AF55" s="9">
        <f t="shared" si="13"/>
        <v>0.37043779228888796</v>
      </c>
      <c r="AG55" s="9" t="str">
        <f t="shared" si="14"/>
        <v>tidak</v>
      </c>
      <c r="AH55" s="9">
        <f t="shared" si="15"/>
        <v>0.7083547932052382</v>
      </c>
      <c r="AI55" s="9">
        <f t="shared" si="16"/>
        <v>0.7083547932052382</v>
      </c>
      <c r="AJ55" s="9" t="str">
        <f t="shared" si="17"/>
        <v>tidak</v>
      </c>
      <c r="AK55" s="9">
        <f t="shared" si="18"/>
        <v>-0.76595581575461114</v>
      </c>
      <c r="AL55" s="9">
        <f t="shared" si="19"/>
        <v>0.76595581575461114</v>
      </c>
      <c r="AM55" s="9" t="str">
        <f t="shared" si="20"/>
        <v>tidak</v>
      </c>
      <c r="AO55" s="9">
        <f t="shared" si="21"/>
        <v>-1.1005706704190983</v>
      </c>
      <c r="AP55" s="9">
        <f t="shared" si="22"/>
        <v>1.1005706704190983</v>
      </c>
      <c r="AQ55" s="9" t="str">
        <f t="shared" si="23"/>
        <v>tidak</v>
      </c>
    </row>
    <row r="56" spans="1:43" x14ac:dyDescent="0.35">
      <c r="A56" s="71"/>
      <c r="B56" s="1">
        <v>2019</v>
      </c>
      <c r="C56" s="24">
        <v>-0.4730847714025726</v>
      </c>
      <c r="D56" s="20">
        <v>0.33333333333333331</v>
      </c>
      <c r="E56" s="25">
        <v>0</v>
      </c>
      <c r="F56" s="1">
        <v>1</v>
      </c>
      <c r="G56" s="1">
        <v>1</v>
      </c>
      <c r="H56" s="45">
        <f t="shared" si="2"/>
        <v>1</v>
      </c>
      <c r="J56" s="54">
        <v>1.6973758257050402</v>
      </c>
      <c r="V56" s="24">
        <f t="shared" si="24"/>
        <v>5.8100897460489245</v>
      </c>
      <c r="W56" s="9">
        <f t="shared" si="4"/>
        <v>5.8100897460489245</v>
      </c>
      <c r="X56" s="9" t="str">
        <f t="shared" si="5"/>
        <v>outlier</v>
      </c>
      <c r="Y56" s="9">
        <f t="shared" si="6"/>
        <v>-2.6773212218607778</v>
      </c>
      <c r="Z56" s="9">
        <f t="shared" si="7"/>
        <v>2.6773212218607778</v>
      </c>
      <c r="AA56" s="9" t="str">
        <f t="shared" si="8"/>
        <v>tidak</v>
      </c>
      <c r="AB56" s="9">
        <f t="shared" si="9"/>
        <v>-1.5982577435421539</v>
      </c>
      <c r="AC56" s="9">
        <f t="shared" si="10"/>
        <v>1.5982577435421539</v>
      </c>
      <c r="AD56" s="9" t="str">
        <f t="shared" si="11"/>
        <v>tidak</v>
      </c>
      <c r="AE56" s="9">
        <f t="shared" si="12"/>
        <v>-0.37043779228888796</v>
      </c>
      <c r="AF56" s="9">
        <f t="shared" si="13"/>
        <v>0.37043779228888796</v>
      </c>
      <c r="AG56" s="9" t="str">
        <f t="shared" si="14"/>
        <v>tidak</v>
      </c>
      <c r="AH56" s="9">
        <f t="shared" si="15"/>
        <v>0.7083547932052382</v>
      </c>
      <c r="AI56" s="9">
        <f t="shared" si="16"/>
        <v>0.7083547932052382</v>
      </c>
      <c r="AJ56" s="9" t="str">
        <f t="shared" si="17"/>
        <v>tidak</v>
      </c>
      <c r="AK56" s="9">
        <f t="shared" si="18"/>
        <v>1.2962329189693418</v>
      </c>
      <c r="AL56" s="9">
        <f t="shared" si="19"/>
        <v>1.2962329189693418</v>
      </c>
      <c r="AM56" s="9" t="str">
        <f t="shared" si="20"/>
        <v>tidak</v>
      </c>
      <c r="AO56" s="9">
        <f t="shared" si="21"/>
        <v>4.2947350682506782</v>
      </c>
      <c r="AP56" s="9">
        <f t="shared" si="22"/>
        <v>4.2947350682506782</v>
      </c>
      <c r="AQ56" s="9" t="str">
        <f t="shared" si="23"/>
        <v>outlier</v>
      </c>
    </row>
    <row r="57" spans="1:43" x14ac:dyDescent="0.35">
      <c r="A57" s="71"/>
      <c r="B57" s="1">
        <v>2020</v>
      </c>
      <c r="C57" s="24">
        <v>-0.35179094834453911</v>
      </c>
      <c r="D57" s="20">
        <v>0.4</v>
      </c>
      <c r="E57" s="25">
        <v>1</v>
      </c>
      <c r="F57" s="1">
        <v>1</v>
      </c>
      <c r="G57" s="1">
        <v>1</v>
      </c>
      <c r="H57" s="45">
        <f t="shared" si="2"/>
        <v>0</v>
      </c>
      <c r="J57" s="54">
        <v>-0.89873379157185518</v>
      </c>
      <c r="V57" s="24">
        <f t="shared" si="24"/>
        <v>-0.17088499253085071</v>
      </c>
      <c r="W57" s="9">
        <f t="shared" si="4"/>
        <v>0.17088499253085071</v>
      </c>
      <c r="X57" s="9" t="str">
        <f t="shared" si="5"/>
        <v>tidak</v>
      </c>
      <c r="Y57" s="9">
        <f t="shared" si="6"/>
        <v>-2.0555155340720725</v>
      </c>
      <c r="Z57" s="9">
        <f t="shared" si="7"/>
        <v>2.0555155340720725</v>
      </c>
      <c r="AA57" s="9" t="str">
        <f t="shared" si="8"/>
        <v>tidak</v>
      </c>
      <c r="AB57" s="9">
        <f t="shared" si="9"/>
        <v>-1.0413619623224455</v>
      </c>
      <c r="AC57" s="9">
        <f t="shared" si="10"/>
        <v>1.0413619623224455</v>
      </c>
      <c r="AD57" s="9" t="str">
        <f t="shared" si="11"/>
        <v>tidak</v>
      </c>
      <c r="AE57" s="9">
        <f t="shared" si="12"/>
        <v>2.6802263795019541</v>
      </c>
      <c r="AF57" s="9">
        <f t="shared" si="13"/>
        <v>2.6802263795019541</v>
      </c>
      <c r="AG57" s="9" t="str">
        <f t="shared" si="14"/>
        <v>tidak</v>
      </c>
      <c r="AH57" s="9">
        <f t="shared" si="15"/>
        <v>0.7083547932052382</v>
      </c>
      <c r="AI57" s="9">
        <f t="shared" si="16"/>
        <v>0.7083547932052382</v>
      </c>
      <c r="AJ57" s="9" t="str">
        <f t="shared" si="17"/>
        <v>tidak</v>
      </c>
      <c r="AK57" s="9">
        <f t="shared" si="18"/>
        <v>1.2962329189693418</v>
      </c>
      <c r="AL57" s="9">
        <f t="shared" si="19"/>
        <v>1.2962329189693418</v>
      </c>
      <c r="AM57" s="9" t="str">
        <f t="shared" si="20"/>
        <v>tidak</v>
      </c>
      <c r="AO57" s="9">
        <f t="shared" si="21"/>
        <v>-2.2743558425712505</v>
      </c>
      <c r="AP57" s="9">
        <f t="shared" si="22"/>
        <v>2.2743558425712505</v>
      </c>
      <c r="AQ57" s="9" t="str">
        <f t="shared" si="23"/>
        <v>tidak</v>
      </c>
    </row>
    <row r="58" spans="1:43" x14ac:dyDescent="0.35">
      <c r="A58" s="71"/>
      <c r="B58" s="1">
        <v>2021</v>
      </c>
      <c r="C58" s="24">
        <v>-0.15753487051959184</v>
      </c>
      <c r="D58" s="20">
        <v>0.4</v>
      </c>
      <c r="E58" s="25">
        <v>0</v>
      </c>
      <c r="F58" s="1">
        <v>1</v>
      </c>
      <c r="G58" s="1">
        <v>1</v>
      </c>
      <c r="H58" s="45">
        <f t="shared" si="2"/>
        <v>0</v>
      </c>
      <c r="J58" s="54">
        <v>0.23001993352048478</v>
      </c>
      <c r="V58" s="24">
        <f t="shared" si="24"/>
        <v>-0.17088499253085071</v>
      </c>
      <c r="W58" s="9">
        <f t="shared" si="4"/>
        <v>0.17088499253085071</v>
      </c>
      <c r="X58" s="9" t="str">
        <f t="shared" si="5"/>
        <v>tidak</v>
      </c>
      <c r="Y58" s="9">
        <f t="shared" si="6"/>
        <v>-1.059673115771139</v>
      </c>
      <c r="Z58" s="9">
        <f t="shared" si="7"/>
        <v>1.059673115771139</v>
      </c>
      <c r="AA58" s="9" t="str">
        <f t="shared" si="8"/>
        <v>tidak</v>
      </c>
      <c r="AB58" s="9">
        <f t="shared" si="9"/>
        <v>-1.0413619623224455</v>
      </c>
      <c r="AC58" s="9">
        <f t="shared" si="10"/>
        <v>1.0413619623224455</v>
      </c>
      <c r="AD58" s="9" t="str">
        <f t="shared" si="11"/>
        <v>tidak</v>
      </c>
      <c r="AE58" s="9">
        <f t="shared" si="12"/>
        <v>-0.37043779228888796</v>
      </c>
      <c r="AF58" s="9">
        <f t="shared" si="13"/>
        <v>0.37043779228888796</v>
      </c>
      <c r="AG58" s="9" t="str">
        <f t="shared" si="14"/>
        <v>tidak</v>
      </c>
      <c r="AH58" s="9">
        <f t="shared" si="15"/>
        <v>0.7083547932052382</v>
      </c>
      <c r="AI58" s="9">
        <f t="shared" si="16"/>
        <v>0.7083547932052382</v>
      </c>
      <c r="AJ58" s="9" t="str">
        <f t="shared" si="17"/>
        <v>tidak</v>
      </c>
      <c r="AK58" s="9">
        <f t="shared" si="18"/>
        <v>1.2962329189693418</v>
      </c>
      <c r="AL58" s="9">
        <f t="shared" si="19"/>
        <v>1.2962329189693418</v>
      </c>
      <c r="AM58" s="9" t="str">
        <f t="shared" si="20"/>
        <v>tidak</v>
      </c>
      <c r="AO58" s="9">
        <f t="shared" si="21"/>
        <v>0.58179698961851167</v>
      </c>
      <c r="AP58" s="9">
        <f t="shared" si="22"/>
        <v>0.58179698961851167</v>
      </c>
      <c r="AQ58" s="9" t="str">
        <f t="shared" si="23"/>
        <v>tidak</v>
      </c>
    </row>
    <row r="59" spans="1:43" x14ac:dyDescent="0.35">
      <c r="A59" s="71" t="s">
        <v>17</v>
      </c>
      <c r="B59" s="1">
        <v>2018</v>
      </c>
      <c r="C59" s="24">
        <v>0.16357254349655773</v>
      </c>
      <c r="D59" s="20">
        <v>0.5</v>
      </c>
      <c r="E59" s="25">
        <v>0</v>
      </c>
      <c r="F59" s="1">
        <v>1</v>
      </c>
      <c r="G59" s="1">
        <v>0</v>
      </c>
      <c r="H59" s="45">
        <f t="shared" si="2"/>
        <v>0</v>
      </c>
      <c r="J59" s="54">
        <v>1.0015035432975619E-2</v>
      </c>
      <c r="V59" s="24">
        <f t="shared" si="24"/>
        <v>-0.17088499253085071</v>
      </c>
      <c r="W59" s="9">
        <f t="shared" si="4"/>
        <v>0.17088499253085071</v>
      </c>
      <c r="X59" s="9" t="str">
        <f t="shared" si="5"/>
        <v>tidak</v>
      </c>
      <c r="Y59" s="9">
        <f t="shared" si="6"/>
        <v>0.58646525626148538</v>
      </c>
      <c r="Z59" s="9">
        <f t="shared" si="7"/>
        <v>0.58646525626148538</v>
      </c>
      <c r="AA59" s="9" t="str">
        <f t="shared" si="8"/>
        <v>tidak</v>
      </c>
      <c r="AB59" s="9">
        <f t="shared" si="9"/>
        <v>-0.20601829049288331</v>
      </c>
      <c r="AC59" s="9">
        <f t="shared" si="10"/>
        <v>0.20601829049288331</v>
      </c>
      <c r="AD59" s="9" t="str">
        <f t="shared" si="11"/>
        <v>tidak</v>
      </c>
      <c r="AE59" s="9">
        <f t="shared" si="12"/>
        <v>-0.37043779228888796</v>
      </c>
      <c r="AF59" s="9">
        <f t="shared" si="13"/>
        <v>0.37043779228888796</v>
      </c>
      <c r="AG59" s="9" t="str">
        <f t="shared" si="14"/>
        <v>tidak</v>
      </c>
      <c r="AH59" s="9">
        <f t="shared" si="15"/>
        <v>0.7083547932052382</v>
      </c>
      <c r="AI59" s="9">
        <f t="shared" si="16"/>
        <v>0.7083547932052382</v>
      </c>
      <c r="AJ59" s="9" t="str">
        <f t="shared" si="17"/>
        <v>tidak</v>
      </c>
      <c r="AK59" s="9">
        <f t="shared" si="18"/>
        <v>-0.76595581575461114</v>
      </c>
      <c r="AL59" s="9">
        <f t="shared" si="19"/>
        <v>0.76595581575461114</v>
      </c>
      <c r="AM59" s="9" t="str">
        <f t="shared" si="20"/>
        <v>tidak</v>
      </c>
      <c r="AO59" s="9">
        <f t="shared" si="21"/>
        <v>2.5105482162485895E-2</v>
      </c>
      <c r="AP59" s="9">
        <f t="shared" si="22"/>
        <v>2.5105482162485895E-2</v>
      </c>
      <c r="AQ59" s="9" t="str">
        <f t="shared" si="23"/>
        <v>tidak</v>
      </c>
    </row>
    <row r="60" spans="1:43" x14ac:dyDescent="0.35">
      <c r="A60" s="71"/>
      <c r="B60" s="1">
        <v>2019</v>
      </c>
      <c r="C60" s="24">
        <v>7.401170398809187E-2</v>
      </c>
      <c r="D60" s="20">
        <v>0.66666666666666663</v>
      </c>
      <c r="E60" s="25">
        <v>0</v>
      </c>
      <c r="F60" s="1">
        <v>1</v>
      </c>
      <c r="G60" s="1">
        <v>0</v>
      </c>
      <c r="H60" s="45">
        <f t="shared" si="2"/>
        <v>0</v>
      </c>
      <c r="J60" s="54">
        <v>-8.0471751298517954E-2</v>
      </c>
      <c r="V60" s="24">
        <f t="shared" si="24"/>
        <v>-0.17088499253085071</v>
      </c>
      <c r="W60" s="9">
        <f t="shared" si="4"/>
        <v>0.17088499253085071</v>
      </c>
      <c r="X60" s="9" t="str">
        <f t="shared" si="5"/>
        <v>tidak</v>
      </c>
      <c r="Y60" s="9">
        <f t="shared" si="6"/>
        <v>0.12733685214769433</v>
      </c>
      <c r="Z60" s="9">
        <f t="shared" si="7"/>
        <v>0.12733685214769433</v>
      </c>
      <c r="AA60" s="9" t="str">
        <f t="shared" si="8"/>
        <v>tidak</v>
      </c>
      <c r="AB60" s="9">
        <f t="shared" si="9"/>
        <v>1.1862211625563868</v>
      </c>
      <c r="AC60" s="9">
        <f t="shared" si="10"/>
        <v>1.1862211625563868</v>
      </c>
      <c r="AD60" s="9" t="str">
        <f t="shared" si="11"/>
        <v>tidak</v>
      </c>
      <c r="AE60" s="9">
        <f t="shared" si="12"/>
        <v>-0.37043779228888796</v>
      </c>
      <c r="AF60" s="9">
        <f t="shared" si="13"/>
        <v>0.37043779228888796</v>
      </c>
      <c r="AG60" s="9" t="str">
        <f t="shared" si="14"/>
        <v>tidak</v>
      </c>
      <c r="AH60" s="9">
        <f t="shared" si="15"/>
        <v>0.7083547932052382</v>
      </c>
      <c r="AI60" s="9">
        <f t="shared" si="16"/>
        <v>0.7083547932052382</v>
      </c>
      <c r="AJ60" s="9" t="str">
        <f t="shared" si="17"/>
        <v>tidak</v>
      </c>
      <c r="AK60" s="9">
        <f t="shared" si="18"/>
        <v>-0.76595581575461114</v>
      </c>
      <c r="AL60" s="9">
        <f t="shared" si="19"/>
        <v>0.76595581575461114</v>
      </c>
      <c r="AM60" s="9" t="str">
        <f t="shared" si="20"/>
        <v>tidak</v>
      </c>
      <c r="AO60" s="9">
        <f t="shared" si="21"/>
        <v>-0.20385862794732909</v>
      </c>
      <c r="AP60" s="9">
        <f t="shared" si="22"/>
        <v>0.20385862794732909</v>
      </c>
      <c r="AQ60" s="9" t="str">
        <f t="shared" si="23"/>
        <v>tidak</v>
      </c>
    </row>
    <row r="61" spans="1:43" x14ac:dyDescent="0.35">
      <c r="A61" s="71"/>
      <c r="B61" s="1">
        <v>2020</v>
      </c>
      <c r="C61" s="24">
        <v>-9.5366357812571283E-3</v>
      </c>
      <c r="D61" s="20">
        <v>0.5</v>
      </c>
      <c r="E61" s="25">
        <v>0</v>
      </c>
      <c r="F61" s="1">
        <v>1</v>
      </c>
      <c r="G61" s="1">
        <v>1</v>
      </c>
      <c r="H61" s="45">
        <f t="shared" si="2"/>
        <v>0</v>
      </c>
      <c r="J61" s="54">
        <v>-0.67285842576251165</v>
      </c>
      <c r="V61" s="24">
        <f t="shared" si="24"/>
        <v>-0.17088499253085071</v>
      </c>
      <c r="W61" s="9">
        <f t="shared" si="4"/>
        <v>0.17088499253085071</v>
      </c>
      <c r="X61" s="9" t="str">
        <f t="shared" si="5"/>
        <v>tidak</v>
      </c>
      <c r="Y61" s="9">
        <f t="shared" si="6"/>
        <v>-0.30096882380604673</v>
      </c>
      <c r="Z61" s="9">
        <f t="shared" si="7"/>
        <v>0.30096882380604673</v>
      </c>
      <c r="AA61" s="9" t="str">
        <f t="shared" si="8"/>
        <v>tidak</v>
      </c>
      <c r="AB61" s="9">
        <f t="shared" si="9"/>
        <v>-0.20601829049288331</v>
      </c>
      <c r="AC61" s="9">
        <f t="shared" si="10"/>
        <v>0.20601829049288331</v>
      </c>
      <c r="AD61" s="9" t="str">
        <f t="shared" si="11"/>
        <v>tidak</v>
      </c>
      <c r="AE61" s="9">
        <f t="shared" si="12"/>
        <v>-0.37043779228888796</v>
      </c>
      <c r="AF61" s="9">
        <f t="shared" si="13"/>
        <v>0.37043779228888796</v>
      </c>
      <c r="AG61" s="9" t="str">
        <f t="shared" si="14"/>
        <v>tidak</v>
      </c>
      <c r="AH61" s="9">
        <f t="shared" si="15"/>
        <v>0.7083547932052382</v>
      </c>
      <c r="AI61" s="9">
        <f t="shared" si="16"/>
        <v>0.7083547932052382</v>
      </c>
      <c r="AJ61" s="9" t="str">
        <f t="shared" si="17"/>
        <v>tidak</v>
      </c>
      <c r="AK61" s="9">
        <f t="shared" si="18"/>
        <v>1.2962329189693418</v>
      </c>
      <c r="AL61" s="9">
        <f t="shared" si="19"/>
        <v>1.2962329189693418</v>
      </c>
      <c r="AM61" s="9" t="str">
        <f t="shared" si="20"/>
        <v>tidak</v>
      </c>
      <c r="AO61" s="9">
        <f t="shared" si="21"/>
        <v>-1.7028099407178778</v>
      </c>
      <c r="AP61" s="9">
        <f t="shared" si="22"/>
        <v>1.7028099407178778</v>
      </c>
      <c r="AQ61" s="9" t="str">
        <f t="shared" si="23"/>
        <v>tidak</v>
      </c>
    </row>
    <row r="62" spans="1:43" x14ac:dyDescent="0.35">
      <c r="A62" s="71"/>
      <c r="B62" s="1">
        <v>2021</v>
      </c>
      <c r="C62" s="24">
        <v>0.28736194919854807</v>
      </c>
      <c r="D62" s="20">
        <v>0.33333333333333331</v>
      </c>
      <c r="E62" s="25">
        <v>0</v>
      </c>
      <c r="F62" s="1">
        <v>1</v>
      </c>
      <c r="G62" s="1">
        <v>1</v>
      </c>
      <c r="H62" s="45">
        <f t="shared" si="2"/>
        <v>0</v>
      </c>
      <c r="J62" s="54">
        <v>-0.45866197410777815</v>
      </c>
      <c r="V62" s="24">
        <f t="shared" si="24"/>
        <v>-0.17088499253085071</v>
      </c>
      <c r="W62" s="9">
        <f t="shared" si="4"/>
        <v>0.17088499253085071</v>
      </c>
      <c r="X62" s="9" t="str">
        <f t="shared" si="5"/>
        <v>tidak</v>
      </c>
      <c r="Y62" s="9">
        <f t="shared" si="6"/>
        <v>1.2210644024740109</v>
      </c>
      <c r="Z62" s="9">
        <f t="shared" si="7"/>
        <v>1.2210644024740109</v>
      </c>
      <c r="AA62" s="9" t="str">
        <f t="shared" si="8"/>
        <v>tidak</v>
      </c>
      <c r="AB62" s="9">
        <f t="shared" si="9"/>
        <v>-1.5982577435421539</v>
      </c>
      <c r="AC62" s="9">
        <f t="shared" si="10"/>
        <v>1.5982577435421539</v>
      </c>
      <c r="AD62" s="9" t="str">
        <f t="shared" si="11"/>
        <v>tidak</v>
      </c>
      <c r="AE62" s="9">
        <f t="shared" si="12"/>
        <v>-0.37043779228888796</v>
      </c>
      <c r="AF62" s="9">
        <f t="shared" si="13"/>
        <v>0.37043779228888796</v>
      </c>
      <c r="AG62" s="9" t="str">
        <f t="shared" si="14"/>
        <v>tidak</v>
      </c>
      <c r="AH62" s="9">
        <f t="shared" si="15"/>
        <v>0.7083547932052382</v>
      </c>
      <c r="AI62" s="9">
        <f t="shared" si="16"/>
        <v>0.7083547932052382</v>
      </c>
      <c r="AJ62" s="9" t="str">
        <f t="shared" si="17"/>
        <v>tidak</v>
      </c>
      <c r="AK62" s="9">
        <f t="shared" si="18"/>
        <v>1.2962329189693418</v>
      </c>
      <c r="AL62" s="9">
        <f t="shared" si="19"/>
        <v>1.2962329189693418</v>
      </c>
      <c r="AM62" s="9" t="str">
        <f t="shared" si="20"/>
        <v>tidak</v>
      </c>
      <c r="AO62" s="9">
        <f t="shared" si="21"/>
        <v>-1.1608158914945925</v>
      </c>
      <c r="AP62" s="9">
        <f t="shared" si="22"/>
        <v>1.1608158914945925</v>
      </c>
      <c r="AQ62" s="9" t="str">
        <f t="shared" si="23"/>
        <v>tidak</v>
      </c>
    </row>
    <row r="63" spans="1:43" x14ac:dyDescent="0.35">
      <c r="A63" s="71" t="s">
        <v>18</v>
      </c>
      <c r="B63" s="1">
        <v>2018</v>
      </c>
      <c r="C63" s="24">
        <v>6.9739204799251983E-2</v>
      </c>
      <c r="D63" s="20">
        <v>0.5</v>
      </c>
      <c r="E63" s="25">
        <v>0</v>
      </c>
      <c r="F63" s="1">
        <v>1</v>
      </c>
      <c r="G63" s="1">
        <v>1</v>
      </c>
      <c r="H63" s="45">
        <f t="shared" si="2"/>
        <v>0</v>
      </c>
      <c r="J63" s="54">
        <v>-1.511626759813482</v>
      </c>
      <c r="V63" s="24">
        <f t="shared" si="24"/>
        <v>-0.17088499253085071</v>
      </c>
      <c r="W63" s="9">
        <f t="shared" si="4"/>
        <v>0.17088499253085071</v>
      </c>
      <c r="X63" s="9" t="str">
        <f t="shared" si="5"/>
        <v>tidak</v>
      </c>
      <c r="Y63" s="9">
        <f t="shared" si="6"/>
        <v>0.10543413501244352</v>
      </c>
      <c r="Z63" s="9">
        <f t="shared" si="7"/>
        <v>0.10543413501244352</v>
      </c>
      <c r="AA63" s="9" t="str">
        <f t="shared" si="8"/>
        <v>tidak</v>
      </c>
      <c r="AB63" s="9">
        <f t="shared" si="9"/>
        <v>-0.20601829049288331</v>
      </c>
      <c r="AC63" s="9">
        <f t="shared" si="10"/>
        <v>0.20601829049288331</v>
      </c>
      <c r="AD63" s="9" t="str">
        <f t="shared" si="11"/>
        <v>tidak</v>
      </c>
      <c r="AE63" s="9">
        <f t="shared" si="12"/>
        <v>-0.37043779228888796</v>
      </c>
      <c r="AF63" s="9">
        <f t="shared" si="13"/>
        <v>0.37043779228888796</v>
      </c>
      <c r="AG63" s="9" t="str">
        <f t="shared" si="14"/>
        <v>tidak</v>
      </c>
      <c r="AH63" s="9">
        <f t="shared" si="15"/>
        <v>0.7083547932052382</v>
      </c>
      <c r="AI63" s="9">
        <f t="shared" si="16"/>
        <v>0.7083547932052382</v>
      </c>
      <c r="AJ63" s="9" t="str">
        <f t="shared" si="17"/>
        <v>tidak</v>
      </c>
      <c r="AK63" s="9">
        <f t="shared" si="18"/>
        <v>1.2962329189693418</v>
      </c>
      <c r="AL63" s="9">
        <f t="shared" si="19"/>
        <v>1.2962329189693418</v>
      </c>
      <c r="AM63" s="9" t="str">
        <f t="shared" si="20"/>
        <v>tidak</v>
      </c>
      <c r="AO63" s="9">
        <f t="shared" si="21"/>
        <v>-3.8251954528053673</v>
      </c>
      <c r="AP63" s="9">
        <f t="shared" si="22"/>
        <v>3.8251954528053673</v>
      </c>
      <c r="AQ63" s="9" t="str">
        <f t="shared" si="23"/>
        <v>outlier</v>
      </c>
    </row>
    <row r="64" spans="1:43" x14ac:dyDescent="0.35">
      <c r="A64" s="71"/>
      <c r="B64" s="1">
        <v>2019</v>
      </c>
      <c r="C64" s="24">
        <v>-0.22995056848474565</v>
      </c>
      <c r="D64" s="20">
        <v>0.5</v>
      </c>
      <c r="E64" s="25">
        <v>0</v>
      </c>
      <c r="F64" s="1">
        <v>0</v>
      </c>
      <c r="G64" s="1">
        <v>0</v>
      </c>
      <c r="H64" s="45">
        <f t="shared" si="2"/>
        <v>1</v>
      </c>
      <c r="J64" s="54">
        <v>1.2308377170203066</v>
      </c>
      <c r="V64" s="24">
        <f t="shared" si="24"/>
        <v>5.8100897460489245</v>
      </c>
      <c r="W64" s="9">
        <f t="shared" si="4"/>
        <v>5.8100897460489245</v>
      </c>
      <c r="X64" s="9" t="str">
        <f t="shared" si="5"/>
        <v>outlier</v>
      </c>
      <c r="Y64" s="9">
        <f t="shared" si="6"/>
        <v>-1.4309079548146535</v>
      </c>
      <c r="Z64" s="9">
        <f t="shared" si="7"/>
        <v>1.4309079548146535</v>
      </c>
      <c r="AA64" s="9" t="str">
        <f t="shared" si="8"/>
        <v>tidak</v>
      </c>
      <c r="AB64" s="9">
        <f t="shared" si="9"/>
        <v>-0.20601829049288331</v>
      </c>
      <c r="AC64" s="9">
        <f t="shared" si="10"/>
        <v>0.20601829049288331</v>
      </c>
      <c r="AD64" s="9" t="str">
        <f t="shared" si="11"/>
        <v>tidak</v>
      </c>
      <c r="AE64" s="9">
        <f t="shared" si="12"/>
        <v>-0.37043779228888796</v>
      </c>
      <c r="AF64" s="9">
        <f t="shared" si="13"/>
        <v>0.37043779228888796</v>
      </c>
      <c r="AG64" s="9" t="str">
        <f t="shared" si="14"/>
        <v>tidak</v>
      </c>
      <c r="AH64" s="9">
        <f t="shared" si="15"/>
        <v>-1.4016382078316414</v>
      </c>
      <c r="AI64" s="9">
        <f t="shared" si="16"/>
        <v>1.4016382078316414</v>
      </c>
      <c r="AJ64" s="9" t="str">
        <f t="shared" si="17"/>
        <v>tidak</v>
      </c>
      <c r="AK64" s="9">
        <f t="shared" si="18"/>
        <v>-0.76595581575461114</v>
      </c>
      <c r="AL64" s="9">
        <f t="shared" si="19"/>
        <v>0.76595581575461114</v>
      </c>
      <c r="AM64" s="9" t="str">
        <f t="shared" si="20"/>
        <v>tidak</v>
      </c>
      <c r="AO64" s="9">
        <f t="shared" si="21"/>
        <v>3.1142258829229852</v>
      </c>
      <c r="AP64" s="9">
        <f t="shared" si="22"/>
        <v>3.1142258829229852</v>
      </c>
      <c r="AQ64" s="9" t="str">
        <f t="shared" si="23"/>
        <v>outlier</v>
      </c>
    </row>
    <row r="65" spans="1:43" x14ac:dyDescent="0.35">
      <c r="A65" s="71"/>
      <c r="B65" s="1">
        <v>2020</v>
      </c>
      <c r="C65" s="24">
        <v>-0.20025442854202205</v>
      </c>
      <c r="D65" s="20">
        <v>0.66666666666666663</v>
      </c>
      <c r="E65" s="25">
        <v>0</v>
      </c>
      <c r="F65" s="1">
        <v>1</v>
      </c>
      <c r="G65" s="1">
        <v>1</v>
      </c>
      <c r="H65" s="45">
        <f t="shared" si="2"/>
        <v>0</v>
      </c>
      <c r="J65" s="54">
        <v>-1.035298170467295</v>
      </c>
      <c r="V65" s="24">
        <f t="shared" si="24"/>
        <v>-0.17088499253085071</v>
      </c>
      <c r="W65" s="9">
        <f t="shared" si="4"/>
        <v>0.17088499253085071</v>
      </c>
      <c r="X65" s="9" t="str">
        <f t="shared" si="5"/>
        <v>tidak</v>
      </c>
      <c r="Y65" s="9">
        <f t="shared" si="6"/>
        <v>-1.2786724307276593</v>
      </c>
      <c r="Z65" s="9">
        <f t="shared" si="7"/>
        <v>1.2786724307276593</v>
      </c>
      <c r="AA65" s="9" t="str">
        <f t="shared" si="8"/>
        <v>tidak</v>
      </c>
      <c r="AB65" s="9">
        <f t="shared" si="9"/>
        <v>1.1862211625563868</v>
      </c>
      <c r="AC65" s="9">
        <f t="shared" si="10"/>
        <v>1.1862211625563868</v>
      </c>
      <c r="AD65" s="9" t="str">
        <f t="shared" si="11"/>
        <v>tidak</v>
      </c>
      <c r="AE65" s="9">
        <f t="shared" si="12"/>
        <v>-0.37043779228888796</v>
      </c>
      <c r="AF65" s="9">
        <f t="shared" si="13"/>
        <v>0.37043779228888796</v>
      </c>
      <c r="AG65" s="9" t="str">
        <f t="shared" si="14"/>
        <v>tidak</v>
      </c>
      <c r="AH65" s="9">
        <f t="shared" si="15"/>
        <v>0.7083547932052382</v>
      </c>
      <c r="AI65" s="9">
        <f t="shared" si="16"/>
        <v>0.7083547932052382</v>
      </c>
      <c r="AJ65" s="9" t="str">
        <f t="shared" si="17"/>
        <v>tidak</v>
      </c>
      <c r="AK65" s="9">
        <f t="shared" si="18"/>
        <v>1.2962329189693418</v>
      </c>
      <c r="AL65" s="9">
        <f t="shared" si="19"/>
        <v>1.2962329189693418</v>
      </c>
      <c r="AM65" s="9" t="str">
        <f t="shared" si="20"/>
        <v>tidak</v>
      </c>
      <c r="AO65" s="9">
        <f t="shared" si="21"/>
        <v>-2.6199128306791186</v>
      </c>
      <c r="AP65" s="9">
        <f t="shared" si="22"/>
        <v>2.6199128306791186</v>
      </c>
      <c r="AQ65" s="9" t="str">
        <f t="shared" si="23"/>
        <v>tidak</v>
      </c>
    </row>
    <row r="66" spans="1:43" x14ac:dyDescent="0.35">
      <c r="A66" s="71"/>
      <c r="B66" s="1">
        <v>2021</v>
      </c>
      <c r="C66" s="24">
        <v>-0.20328620203480161</v>
      </c>
      <c r="D66" s="20">
        <v>0.66666666666666663</v>
      </c>
      <c r="E66" s="25">
        <v>0</v>
      </c>
      <c r="F66" s="1">
        <v>0</v>
      </c>
      <c r="G66" s="1">
        <v>1</v>
      </c>
      <c r="H66" s="45">
        <f t="shared" si="2"/>
        <v>0</v>
      </c>
      <c r="J66" s="54">
        <v>0.85672066872399355</v>
      </c>
      <c r="V66" s="24">
        <f t="shared" si="24"/>
        <v>-0.17088499253085071</v>
      </c>
      <c r="W66" s="9">
        <f t="shared" si="4"/>
        <v>0.17088499253085071</v>
      </c>
      <c r="X66" s="9" t="str">
        <f t="shared" si="5"/>
        <v>tidak</v>
      </c>
      <c r="Y66" s="9">
        <f t="shared" si="6"/>
        <v>-1.294214640168905</v>
      </c>
      <c r="Z66" s="9">
        <f t="shared" si="7"/>
        <v>1.294214640168905</v>
      </c>
      <c r="AA66" s="9" t="str">
        <f t="shared" si="8"/>
        <v>tidak</v>
      </c>
      <c r="AB66" s="9">
        <f t="shared" si="9"/>
        <v>1.1862211625563868</v>
      </c>
      <c r="AC66" s="9">
        <f t="shared" si="10"/>
        <v>1.1862211625563868</v>
      </c>
      <c r="AD66" s="9" t="str">
        <f t="shared" si="11"/>
        <v>tidak</v>
      </c>
      <c r="AE66" s="9">
        <f t="shared" si="12"/>
        <v>-0.37043779228888796</v>
      </c>
      <c r="AF66" s="9">
        <f t="shared" si="13"/>
        <v>0.37043779228888796</v>
      </c>
      <c r="AG66" s="9" t="str">
        <f t="shared" si="14"/>
        <v>tidak</v>
      </c>
      <c r="AH66" s="9">
        <f t="shared" si="15"/>
        <v>-1.4016382078316414</v>
      </c>
      <c r="AI66" s="9">
        <f t="shared" si="16"/>
        <v>1.4016382078316414</v>
      </c>
      <c r="AJ66" s="9" t="str">
        <f t="shared" si="17"/>
        <v>tidak</v>
      </c>
      <c r="AK66" s="9">
        <f t="shared" si="18"/>
        <v>1.2962329189693418</v>
      </c>
      <c r="AL66" s="9">
        <f t="shared" si="19"/>
        <v>1.2962329189693418</v>
      </c>
      <c r="AM66" s="9" t="str">
        <f t="shared" si="20"/>
        <v>tidak</v>
      </c>
      <c r="AO66" s="9">
        <f t="shared" si="21"/>
        <v>2.16757521563542</v>
      </c>
      <c r="AP66" s="9">
        <f t="shared" si="22"/>
        <v>2.16757521563542</v>
      </c>
      <c r="AQ66" s="9" t="str">
        <f t="shared" si="23"/>
        <v>tidak</v>
      </c>
    </row>
    <row r="67" spans="1:43" x14ac:dyDescent="0.35">
      <c r="A67" s="71" t="s">
        <v>19</v>
      </c>
      <c r="B67" s="1">
        <v>2018</v>
      </c>
      <c r="C67" s="24">
        <v>6.7295661871036278E-2</v>
      </c>
      <c r="D67" s="20">
        <v>0.33333333333333331</v>
      </c>
      <c r="E67" s="25">
        <v>0</v>
      </c>
      <c r="F67" s="1">
        <v>0</v>
      </c>
      <c r="G67" s="1">
        <v>1</v>
      </c>
      <c r="H67" s="45">
        <f t="shared" si="2"/>
        <v>0</v>
      </c>
      <c r="J67" s="54">
        <v>-0.31487377134087557</v>
      </c>
      <c r="V67" s="24">
        <f t="shared" si="24"/>
        <v>-0.17088499253085071</v>
      </c>
      <c r="W67" s="9">
        <f t="shared" si="4"/>
        <v>0.17088499253085071</v>
      </c>
      <c r="X67" s="9" t="str">
        <f t="shared" si="5"/>
        <v>tidak</v>
      </c>
      <c r="Y67" s="9">
        <f t="shared" si="6"/>
        <v>9.2907455146862675E-2</v>
      </c>
      <c r="Z67" s="9">
        <f t="shared" si="7"/>
        <v>9.2907455146862675E-2</v>
      </c>
      <c r="AA67" s="9" t="str">
        <f t="shared" si="8"/>
        <v>tidak</v>
      </c>
      <c r="AB67" s="9">
        <f t="shared" si="9"/>
        <v>-1.5982577435421539</v>
      </c>
      <c r="AC67" s="9">
        <f t="shared" si="10"/>
        <v>1.5982577435421539</v>
      </c>
      <c r="AD67" s="9" t="str">
        <f t="shared" si="11"/>
        <v>tidak</v>
      </c>
      <c r="AE67" s="9">
        <f t="shared" si="12"/>
        <v>-0.37043779228888796</v>
      </c>
      <c r="AF67" s="9">
        <f t="shared" si="13"/>
        <v>0.37043779228888796</v>
      </c>
      <c r="AG67" s="9" t="str">
        <f t="shared" si="14"/>
        <v>tidak</v>
      </c>
      <c r="AH67" s="9">
        <f t="shared" si="15"/>
        <v>-1.4016382078316414</v>
      </c>
      <c r="AI67" s="9">
        <f t="shared" si="16"/>
        <v>1.4016382078316414</v>
      </c>
      <c r="AJ67" s="9" t="str">
        <f t="shared" si="17"/>
        <v>tidak</v>
      </c>
      <c r="AK67" s="9">
        <f t="shared" si="18"/>
        <v>1.2962329189693418</v>
      </c>
      <c r="AL67" s="9">
        <f t="shared" si="19"/>
        <v>1.2962329189693418</v>
      </c>
      <c r="AM67" s="9" t="str">
        <f t="shared" si="20"/>
        <v>tidak</v>
      </c>
      <c r="AO67" s="9">
        <f t="shared" si="21"/>
        <v>-0.796980031254514</v>
      </c>
      <c r="AP67" s="9">
        <f t="shared" si="22"/>
        <v>0.796980031254514</v>
      </c>
      <c r="AQ67" s="9" t="str">
        <f t="shared" si="23"/>
        <v>tidak</v>
      </c>
    </row>
    <row r="68" spans="1:43" x14ac:dyDescent="0.35">
      <c r="A68" s="71"/>
      <c r="B68" s="1">
        <v>2019</v>
      </c>
      <c r="C68" s="24">
        <v>7.2087241142226102E-2</v>
      </c>
      <c r="D68" s="20">
        <v>0.33333333333333331</v>
      </c>
      <c r="E68" s="25">
        <v>0</v>
      </c>
      <c r="F68" s="1">
        <v>0</v>
      </c>
      <c r="G68" s="1">
        <v>1</v>
      </c>
      <c r="H68" s="45">
        <f t="shared" ref="H68:H131" si="25">IF(J68&lt;1,0,1)</f>
        <v>0</v>
      </c>
      <c r="J68" s="54">
        <v>-0.11701845275008314</v>
      </c>
      <c r="V68" s="24">
        <f t="shared" ref="V68:V126" si="26">STANDARDIZE(H68,$R$3,$R$4)</f>
        <v>-0.17088499253085071</v>
      </c>
      <c r="W68" s="9">
        <f t="shared" ref="W68:W126" si="27">ABS(V68)</f>
        <v>0.17088499253085071</v>
      </c>
      <c r="X68" s="9" t="str">
        <f t="shared" ref="X68:X126" si="28">IF(W68&gt;3,"outlier","tidak")</f>
        <v>tidak</v>
      </c>
      <c r="Y68" s="9">
        <f t="shared" ref="Y68:Y126" si="29">STANDARDIZE(C68,$M$3,$M$4)</f>
        <v>0.11747120595625692</v>
      </c>
      <c r="Z68" s="9">
        <f t="shared" ref="Z68:Z126" si="30">ABS(Y68)</f>
        <v>0.11747120595625692</v>
      </c>
      <c r="AA68" s="9" t="str">
        <f t="shared" ref="AA68:AA126" si="31">IF(Z68&gt;3,"outlier","tidak")</f>
        <v>tidak</v>
      </c>
      <c r="AB68" s="9">
        <f t="shared" ref="AB68:AB126" si="32">STANDARDIZE(D68,$N$3,$N$4)</f>
        <v>-1.5982577435421539</v>
      </c>
      <c r="AC68" s="9">
        <f t="shared" ref="AC68:AC126" si="33">ABS(AB68)</f>
        <v>1.5982577435421539</v>
      </c>
      <c r="AD68" s="9" t="str">
        <f t="shared" ref="AD68:AD126" si="34">IF(AC68&gt;3,"outlier","tidak")</f>
        <v>tidak</v>
      </c>
      <c r="AE68" s="9">
        <f t="shared" ref="AE68:AE126" si="35">STANDARDIZE(E68,$O$3,$O$4)</f>
        <v>-0.37043779228888796</v>
      </c>
      <c r="AF68" s="9">
        <f t="shared" ref="AF68:AF126" si="36">ABS(AE68)</f>
        <v>0.37043779228888796</v>
      </c>
      <c r="AG68" s="9" t="str">
        <f t="shared" ref="AG68:AG126" si="37">IF(AF68&gt;3,"outlier","tidak")</f>
        <v>tidak</v>
      </c>
      <c r="AH68" s="9">
        <f t="shared" ref="AH68:AH126" si="38">STANDARDIZE(F68,$P$3,$P$4)</f>
        <v>-1.4016382078316414</v>
      </c>
      <c r="AI68" s="9">
        <f t="shared" ref="AI68:AI126" si="39">ABS(AH68)</f>
        <v>1.4016382078316414</v>
      </c>
      <c r="AJ68" s="9" t="str">
        <f t="shared" ref="AJ68:AJ126" si="40">IF(AI68&gt;3,"outlier","tidak")</f>
        <v>tidak</v>
      </c>
      <c r="AK68" s="9">
        <f t="shared" ref="AK68:AK126" si="41">STANDARDIZE(G68,$Q$3,$Q$4)</f>
        <v>1.2962329189693418</v>
      </c>
      <c r="AL68" s="9">
        <f t="shared" ref="AL68:AL126" si="42">ABS(AK68)</f>
        <v>1.2962329189693418</v>
      </c>
      <c r="AM68" s="9" t="str">
        <f t="shared" ref="AM68:AM126" si="43">IF(AL68&gt;3,"outlier","tidak")</f>
        <v>tidak</v>
      </c>
      <c r="AO68" s="9">
        <f t="shared" ref="AO68:AO126" si="44">STANDARDIZE(J68,$T$3,$T$4)</f>
        <v>-0.29633492506833514</v>
      </c>
      <c r="AP68" s="9">
        <f t="shared" ref="AP68:AP126" si="45">ABS(AO68)</f>
        <v>0.29633492506833514</v>
      </c>
      <c r="AQ68" s="9" t="str">
        <f t="shared" ref="AQ68:AQ115" si="46">IF(AP68&gt;3,"outlier","tidak")</f>
        <v>tidak</v>
      </c>
    </row>
    <row r="69" spans="1:43" x14ac:dyDescent="0.35">
      <c r="A69" s="71"/>
      <c r="B69" s="1">
        <v>2020</v>
      </c>
      <c r="C69" s="24">
        <v>6.9078158269698833E-2</v>
      </c>
      <c r="D69" s="20">
        <v>0.33333333333333331</v>
      </c>
      <c r="E69" s="25">
        <v>0</v>
      </c>
      <c r="F69" s="1">
        <v>0</v>
      </c>
      <c r="G69" s="1">
        <v>0</v>
      </c>
      <c r="H69" s="45">
        <f t="shared" si="25"/>
        <v>0</v>
      </c>
      <c r="J69" s="54">
        <v>-0.74326404331865059</v>
      </c>
      <c r="V69" s="24">
        <f t="shared" si="26"/>
        <v>-0.17088499253085071</v>
      </c>
      <c r="W69" s="9">
        <f t="shared" si="27"/>
        <v>0.17088499253085071</v>
      </c>
      <c r="X69" s="9" t="str">
        <f t="shared" si="28"/>
        <v>tidak</v>
      </c>
      <c r="Y69" s="9">
        <f t="shared" si="29"/>
        <v>0.10204531865225287</v>
      </c>
      <c r="Z69" s="9">
        <f t="shared" si="30"/>
        <v>0.10204531865225287</v>
      </c>
      <c r="AA69" s="9" t="str">
        <f t="shared" si="31"/>
        <v>tidak</v>
      </c>
      <c r="AB69" s="9">
        <f t="shared" si="32"/>
        <v>-1.5982577435421539</v>
      </c>
      <c r="AC69" s="9">
        <f t="shared" si="33"/>
        <v>1.5982577435421539</v>
      </c>
      <c r="AD69" s="9" t="str">
        <f t="shared" si="34"/>
        <v>tidak</v>
      </c>
      <c r="AE69" s="9">
        <f t="shared" si="35"/>
        <v>-0.37043779228888796</v>
      </c>
      <c r="AF69" s="9">
        <f t="shared" si="36"/>
        <v>0.37043779228888796</v>
      </c>
      <c r="AG69" s="9" t="str">
        <f t="shared" si="37"/>
        <v>tidak</v>
      </c>
      <c r="AH69" s="9">
        <f t="shared" si="38"/>
        <v>-1.4016382078316414</v>
      </c>
      <c r="AI69" s="9">
        <f t="shared" si="39"/>
        <v>1.4016382078316414</v>
      </c>
      <c r="AJ69" s="9" t="str">
        <f t="shared" si="40"/>
        <v>tidak</v>
      </c>
      <c r="AK69" s="9">
        <f t="shared" si="41"/>
        <v>-0.76595581575461114</v>
      </c>
      <c r="AL69" s="9">
        <f t="shared" si="42"/>
        <v>0.76595581575461114</v>
      </c>
      <c r="AM69" s="9" t="str">
        <f t="shared" si="43"/>
        <v>tidak</v>
      </c>
      <c r="AO69" s="9">
        <f t="shared" si="44"/>
        <v>-1.8809614714856591</v>
      </c>
      <c r="AP69" s="9">
        <f t="shared" si="45"/>
        <v>1.8809614714856591</v>
      </c>
      <c r="AQ69" s="9" t="str">
        <f t="shared" si="46"/>
        <v>tidak</v>
      </c>
    </row>
    <row r="70" spans="1:43" x14ac:dyDescent="0.35">
      <c r="A70" s="71"/>
      <c r="B70" s="1">
        <v>2021</v>
      </c>
      <c r="C70" s="24">
        <v>2.5040670321382855E-2</v>
      </c>
      <c r="D70" s="20">
        <v>0.25</v>
      </c>
      <c r="E70" s="25">
        <v>0</v>
      </c>
      <c r="F70" s="1">
        <v>1</v>
      </c>
      <c r="G70" s="1">
        <v>0</v>
      </c>
      <c r="H70" s="45">
        <f t="shared" si="25"/>
        <v>0</v>
      </c>
      <c r="J70" s="54">
        <v>-0.14151805583431035</v>
      </c>
      <c r="V70" s="24">
        <f t="shared" si="26"/>
        <v>-0.17088499253085071</v>
      </c>
      <c r="W70" s="9">
        <f t="shared" si="27"/>
        <v>0.17088499253085071</v>
      </c>
      <c r="X70" s="9" t="str">
        <f t="shared" si="28"/>
        <v>tidak</v>
      </c>
      <c r="Y70" s="9">
        <f t="shared" si="29"/>
        <v>-0.12371028696575169</v>
      </c>
      <c r="Z70" s="9">
        <f t="shared" si="30"/>
        <v>0.12371028696575169</v>
      </c>
      <c r="AA70" s="9" t="str">
        <f t="shared" si="31"/>
        <v>tidak</v>
      </c>
      <c r="AB70" s="9">
        <f t="shared" si="32"/>
        <v>-2.2943774700667889</v>
      </c>
      <c r="AC70" s="9">
        <f t="shared" si="33"/>
        <v>2.2943774700667889</v>
      </c>
      <c r="AD70" s="9" t="str">
        <f t="shared" si="34"/>
        <v>tidak</v>
      </c>
      <c r="AE70" s="9">
        <f t="shared" si="35"/>
        <v>-0.37043779228888796</v>
      </c>
      <c r="AF70" s="9">
        <f t="shared" si="36"/>
        <v>0.37043779228888796</v>
      </c>
      <c r="AG70" s="9" t="str">
        <f t="shared" si="37"/>
        <v>tidak</v>
      </c>
      <c r="AH70" s="9">
        <f t="shared" si="38"/>
        <v>0.7083547932052382</v>
      </c>
      <c r="AI70" s="9">
        <f t="shared" si="39"/>
        <v>0.7083547932052382</v>
      </c>
      <c r="AJ70" s="9" t="str">
        <f t="shared" si="40"/>
        <v>tidak</v>
      </c>
      <c r="AK70" s="9">
        <f t="shared" si="41"/>
        <v>-0.76595581575461114</v>
      </c>
      <c r="AL70" s="9">
        <f t="shared" si="42"/>
        <v>0.76595581575461114</v>
      </c>
      <c r="AM70" s="9" t="str">
        <f t="shared" si="43"/>
        <v>tidak</v>
      </c>
      <c r="AO70" s="9">
        <f t="shared" si="44"/>
        <v>-0.3583277310994436</v>
      </c>
      <c r="AP70" s="9">
        <f t="shared" si="45"/>
        <v>0.3583277310994436</v>
      </c>
      <c r="AQ70" s="9" t="str">
        <f t="shared" si="46"/>
        <v>tidak</v>
      </c>
    </row>
    <row r="71" spans="1:43" x14ac:dyDescent="0.35">
      <c r="A71" s="71" t="s">
        <v>20</v>
      </c>
      <c r="B71" s="1">
        <v>2018</v>
      </c>
      <c r="C71" s="24">
        <v>9.3965208651511464E-2</v>
      </c>
      <c r="D71" s="20">
        <v>0.75</v>
      </c>
      <c r="E71" s="25">
        <v>0</v>
      </c>
      <c r="F71" s="1">
        <v>1</v>
      </c>
      <c r="G71" s="1">
        <v>1</v>
      </c>
      <c r="H71" s="45">
        <f t="shared" si="25"/>
        <v>0</v>
      </c>
      <c r="J71" s="54">
        <v>0.12668093552382526</v>
      </c>
      <c r="V71" s="24">
        <f t="shared" si="26"/>
        <v>-0.17088499253085071</v>
      </c>
      <c r="W71" s="9">
        <f t="shared" si="27"/>
        <v>0.17088499253085071</v>
      </c>
      <c r="X71" s="9" t="str">
        <f t="shared" si="28"/>
        <v>tidak</v>
      </c>
      <c r="Y71" s="9">
        <f t="shared" si="29"/>
        <v>0.22962732645401154</v>
      </c>
      <c r="Z71" s="9">
        <f t="shared" si="30"/>
        <v>0.22962732645401154</v>
      </c>
      <c r="AA71" s="9" t="str">
        <f t="shared" si="31"/>
        <v>tidak</v>
      </c>
      <c r="AB71" s="9">
        <f t="shared" si="32"/>
        <v>1.8823408890810225</v>
      </c>
      <c r="AC71" s="9">
        <f t="shared" si="33"/>
        <v>1.8823408890810225</v>
      </c>
      <c r="AD71" s="9" t="str">
        <f t="shared" si="34"/>
        <v>tidak</v>
      </c>
      <c r="AE71" s="9">
        <f t="shared" si="35"/>
        <v>-0.37043779228888796</v>
      </c>
      <c r="AF71" s="9">
        <f t="shared" si="36"/>
        <v>0.37043779228888796</v>
      </c>
      <c r="AG71" s="9" t="str">
        <f t="shared" si="37"/>
        <v>tidak</v>
      </c>
      <c r="AH71" s="9">
        <f t="shared" si="38"/>
        <v>0.7083547932052382</v>
      </c>
      <c r="AI71" s="9">
        <f t="shared" si="39"/>
        <v>0.7083547932052382</v>
      </c>
      <c r="AJ71" s="9" t="str">
        <f t="shared" si="40"/>
        <v>tidak</v>
      </c>
      <c r="AK71" s="9">
        <f t="shared" si="41"/>
        <v>1.2962329189693418</v>
      </c>
      <c r="AL71" s="9">
        <f t="shared" si="42"/>
        <v>1.2962329189693418</v>
      </c>
      <c r="AM71" s="9" t="str">
        <f t="shared" si="43"/>
        <v>tidak</v>
      </c>
      <c r="AO71" s="9">
        <f t="shared" si="44"/>
        <v>0.32031216326308526</v>
      </c>
      <c r="AP71" s="9">
        <f t="shared" si="45"/>
        <v>0.32031216326308526</v>
      </c>
      <c r="AQ71" s="9" t="str">
        <f t="shared" si="46"/>
        <v>tidak</v>
      </c>
    </row>
    <row r="72" spans="1:43" x14ac:dyDescent="0.35">
      <c r="A72" s="71"/>
      <c r="B72" s="1">
        <v>2019</v>
      </c>
      <c r="C72" s="24">
        <v>0.24665289965038448</v>
      </c>
      <c r="D72" s="20">
        <v>0.5</v>
      </c>
      <c r="E72" s="25">
        <v>0</v>
      </c>
      <c r="F72" s="1">
        <v>0</v>
      </c>
      <c r="G72" s="1">
        <v>1</v>
      </c>
      <c r="H72" s="45">
        <f t="shared" si="25"/>
        <v>0</v>
      </c>
      <c r="J72" s="54">
        <v>-0.30832639451758104</v>
      </c>
      <c r="V72" s="24">
        <f t="shared" si="26"/>
        <v>-0.17088499253085071</v>
      </c>
      <c r="W72" s="9">
        <f t="shared" si="27"/>
        <v>0.17088499253085071</v>
      </c>
      <c r="X72" s="9" t="str">
        <f t="shared" si="28"/>
        <v>tidak</v>
      </c>
      <c r="Y72" s="9">
        <f t="shared" si="29"/>
        <v>1.0123718415889507</v>
      </c>
      <c r="Z72" s="9">
        <f t="shared" si="30"/>
        <v>1.0123718415889507</v>
      </c>
      <c r="AA72" s="9" t="str">
        <f t="shared" si="31"/>
        <v>tidak</v>
      </c>
      <c r="AB72" s="9">
        <f t="shared" si="32"/>
        <v>-0.20601829049288331</v>
      </c>
      <c r="AC72" s="9">
        <f t="shared" si="33"/>
        <v>0.20601829049288331</v>
      </c>
      <c r="AD72" s="9" t="str">
        <f t="shared" si="34"/>
        <v>tidak</v>
      </c>
      <c r="AE72" s="9">
        <f t="shared" si="35"/>
        <v>-0.37043779228888796</v>
      </c>
      <c r="AF72" s="9">
        <f t="shared" si="36"/>
        <v>0.37043779228888796</v>
      </c>
      <c r="AG72" s="9" t="str">
        <f t="shared" si="37"/>
        <v>tidak</v>
      </c>
      <c r="AH72" s="9">
        <f t="shared" si="38"/>
        <v>-1.4016382078316414</v>
      </c>
      <c r="AI72" s="9">
        <f t="shared" si="39"/>
        <v>1.4016382078316414</v>
      </c>
      <c r="AJ72" s="9" t="str">
        <f t="shared" si="40"/>
        <v>tidak</v>
      </c>
      <c r="AK72" s="9">
        <f t="shared" si="41"/>
        <v>1.2962329189693418</v>
      </c>
      <c r="AL72" s="9">
        <f t="shared" si="42"/>
        <v>1.2962329189693418</v>
      </c>
      <c r="AM72" s="9" t="str">
        <f t="shared" si="43"/>
        <v>tidak</v>
      </c>
      <c r="AO72" s="9">
        <f t="shared" si="44"/>
        <v>-0.78041281340924262</v>
      </c>
      <c r="AP72" s="9">
        <f t="shared" si="45"/>
        <v>0.78041281340924262</v>
      </c>
      <c r="AQ72" s="9" t="str">
        <f t="shared" si="46"/>
        <v>tidak</v>
      </c>
    </row>
    <row r="73" spans="1:43" x14ac:dyDescent="0.35">
      <c r="A73" s="71"/>
      <c r="B73" s="1">
        <v>2020</v>
      </c>
      <c r="C73" s="24">
        <v>3.0143201341749189E-2</v>
      </c>
      <c r="D73" s="20">
        <v>0.5</v>
      </c>
      <c r="E73" s="25">
        <v>0</v>
      </c>
      <c r="F73" s="1">
        <v>1</v>
      </c>
      <c r="G73" s="1">
        <v>0</v>
      </c>
      <c r="H73" s="45">
        <f t="shared" si="25"/>
        <v>0</v>
      </c>
      <c r="J73" s="54">
        <v>6.4195122700961144E-3</v>
      </c>
      <c r="V73" s="24">
        <f t="shared" si="26"/>
        <v>-0.17088499253085071</v>
      </c>
      <c r="W73" s="9">
        <f t="shared" si="27"/>
        <v>0.17088499253085071</v>
      </c>
      <c r="X73" s="9" t="str">
        <f t="shared" si="28"/>
        <v>tidak</v>
      </c>
      <c r="Y73" s="9">
        <f t="shared" si="29"/>
        <v>-9.7552460205982877E-2</v>
      </c>
      <c r="Z73" s="9">
        <f t="shared" si="30"/>
        <v>9.7552460205982877E-2</v>
      </c>
      <c r="AA73" s="9" t="str">
        <f t="shared" si="31"/>
        <v>tidak</v>
      </c>
      <c r="AB73" s="9">
        <f t="shared" si="32"/>
        <v>-0.20601829049288331</v>
      </c>
      <c r="AC73" s="9">
        <f t="shared" si="33"/>
        <v>0.20601829049288331</v>
      </c>
      <c r="AD73" s="9" t="str">
        <f t="shared" si="34"/>
        <v>tidak</v>
      </c>
      <c r="AE73" s="9">
        <f t="shared" si="35"/>
        <v>-0.37043779228888796</v>
      </c>
      <c r="AF73" s="9">
        <f t="shared" si="36"/>
        <v>0.37043779228888796</v>
      </c>
      <c r="AG73" s="9" t="str">
        <f t="shared" si="37"/>
        <v>tidak</v>
      </c>
      <c r="AH73" s="9">
        <f t="shared" si="38"/>
        <v>0.7083547932052382</v>
      </c>
      <c r="AI73" s="9">
        <f t="shared" si="39"/>
        <v>0.7083547932052382</v>
      </c>
      <c r="AJ73" s="9" t="str">
        <f t="shared" si="40"/>
        <v>tidak</v>
      </c>
      <c r="AK73" s="9">
        <f t="shared" si="41"/>
        <v>-0.76595581575461114</v>
      </c>
      <c r="AL73" s="9">
        <f t="shared" si="42"/>
        <v>0.76595581575461114</v>
      </c>
      <c r="AM73" s="9" t="str">
        <f t="shared" si="43"/>
        <v>tidak</v>
      </c>
      <c r="AO73" s="9">
        <f t="shared" si="44"/>
        <v>1.6007515585213173E-2</v>
      </c>
      <c r="AP73" s="9">
        <f t="shared" si="45"/>
        <v>1.6007515585213173E-2</v>
      </c>
      <c r="AQ73" s="9" t="str">
        <f t="shared" si="46"/>
        <v>tidak</v>
      </c>
    </row>
    <row r="74" spans="1:43" x14ac:dyDescent="0.35">
      <c r="A74" s="71"/>
      <c r="B74" s="1">
        <v>2021</v>
      </c>
      <c r="C74" s="24">
        <v>0.15103908165722346</v>
      </c>
      <c r="D74" s="20">
        <v>0.66666666666666663</v>
      </c>
      <c r="E74" s="25">
        <v>1</v>
      </c>
      <c r="F74" s="1">
        <v>1</v>
      </c>
      <c r="G74" s="1">
        <v>1</v>
      </c>
      <c r="H74" s="45">
        <f t="shared" si="25"/>
        <v>0</v>
      </c>
      <c r="J74" s="54">
        <v>7.562614851495221E-2</v>
      </c>
      <c r="V74" s="24">
        <f t="shared" si="26"/>
        <v>-0.17088499253085071</v>
      </c>
      <c r="W74" s="9">
        <f t="shared" si="27"/>
        <v>0.17088499253085071</v>
      </c>
      <c r="X74" s="9" t="str">
        <f t="shared" si="28"/>
        <v>tidak</v>
      </c>
      <c r="Y74" s="9">
        <f t="shared" si="29"/>
        <v>0.5222131973940527</v>
      </c>
      <c r="Z74" s="9">
        <f t="shared" si="30"/>
        <v>0.5222131973940527</v>
      </c>
      <c r="AA74" s="9" t="str">
        <f t="shared" si="31"/>
        <v>tidak</v>
      </c>
      <c r="AB74" s="9">
        <f t="shared" si="32"/>
        <v>1.1862211625563868</v>
      </c>
      <c r="AC74" s="9">
        <f t="shared" si="33"/>
        <v>1.1862211625563868</v>
      </c>
      <c r="AD74" s="9" t="str">
        <f t="shared" si="34"/>
        <v>tidak</v>
      </c>
      <c r="AE74" s="9">
        <f t="shared" si="35"/>
        <v>2.6802263795019541</v>
      </c>
      <c r="AF74" s="9">
        <f t="shared" si="36"/>
        <v>2.6802263795019541</v>
      </c>
      <c r="AG74" s="9" t="str">
        <f t="shared" si="37"/>
        <v>tidak</v>
      </c>
      <c r="AH74" s="9">
        <f t="shared" si="38"/>
        <v>0.7083547932052382</v>
      </c>
      <c r="AI74" s="9">
        <f t="shared" si="39"/>
        <v>0.7083547932052382</v>
      </c>
      <c r="AJ74" s="9" t="str">
        <f t="shared" si="40"/>
        <v>tidak</v>
      </c>
      <c r="AK74" s="9">
        <f t="shared" si="41"/>
        <v>1.2962329189693418</v>
      </c>
      <c r="AL74" s="9">
        <f t="shared" si="42"/>
        <v>1.2962329189693418</v>
      </c>
      <c r="AM74" s="9" t="str">
        <f t="shared" si="43"/>
        <v>tidak</v>
      </c>
      <c r="AO74" s="9">
        <f t="shared" si="44"/>
        <v>0.19112519247341303</v>
      </c>
      <c r="AP74" s="9">
        <f t="shared" si="45"/>
        <v>0.19112519247341303</v>
      </c>
      <c r="AQ74" s="9" t="str">
        <f t="shared" si="46"/>
        <v>tidak</v>
      </c>
    </row>
    <row r="75" spans="1:43" x14ac:dyDescent="0.35">
      <c r="A75" s="71" t="s">
        <v>21</v>
      </c>
      <c r="B75" s="1">
        <v>2018</v>
      </c>
      <c r="C75" s="24">
        <v>0.12994814674427368</v>
      </c>
      <c r="D75" s="20">
        <v>0.4</v>
      </c>
      <c r="E75" s="25">
        <v>0</v>
      </c>
      <c r="F75" s="1">
        <v>0</v>
      </c>
      <c r="G75" s="1">
        <v>1</v>
      </c>
      <c r="H75" s="45">
        <f t="shared" si="25"/>
        <v>0</v>
      </c>
      <c r="J75" s="54">
        <v>-6.330451181784913E-2</v>
      </c>
      <c r="V75" s="24">
        <f t="shared" si="26"/>
        <v>-0.17088499253085071</v>
      </c>
      <c r="W75" s="9">
        <f t="shared" si="27"/>
        <v>0.17088499253085071</v>
      </c>
      <c r="X75" s="9" t="str">
        <f t="shared" si="28"/>
        <v>tidak</v>
      </c>
      <c r="Y75" s="9">
        <f t="shared" si="29"/>
        <v>0.41409175345721766</v>
      </c>
      <c r="Z75" s="9">
        <f t="shared" si="30"/>
        <v>0.41409175345721766</v>
      </c>
      <c r="AA75" s="9" t="str">
        <f t="shared" si="31"/>
        <v>tidak</v>
      </c>
      <c r="AB75" s="9">
        <f t="shared" si="32"/>
        <v>-1.0413619623224455</v>
      </c>
      <c r="AC75" s="9">
        <f t="shared" si="33"/>
        <v>1.0413619623224455</v>
      </c>
      <c r="AD75" s="9" t="str">
        <f t="shared" si="34"/>
        <v>tidak</v>
      </c>
      <c r="AE75" s="9">
        <f t="shared" si="35"/>
        <v>-0.37043779228888796</v>
      </c>
      <c r="AF75" s="9">
        <f t="shared" si="36"/>
        <v>0.37043779228888796</v>
      </c>
      <c r="AG75" s="9" t="str">
        <f t="shared" si="37"/>
        <v>tidak</v>
      </c>
      <c r="AH75" s="9">
        <f t="shared" si="38"/>
        <v>-1.4016382078316414</v>
      </c>
      <c r="AI75" s="9">
        <f t="shared" si="39"/>
        <v>1.4016382078316414</v>
      </c>
      <c r="AJ75" s="9" t="str">
        <f t="shared" si="40"/>
        <v>tidak</v>
      </c>
      <c r="AK75" s="9">
        <f t="shared" si="41"/>
        <v>1.2962329189693418</v>
      </c>
      <c r="AL75" s="9">
        <f t="shared" si="42"/>
        <v>1.2962329189693418</v>
      </c>
      <c r="AM75" s="9" t="str">
        <f t="shared" si="43"/>
        <v>tidak</v>
      </c>
      <c r="AO75" s="9">
        <f t="shared" si="44"/>
        <v>-0.16041933860227645</v>
      </c>
      <c r="AP75" s="9">
        <f t="shared" si="45"/>
        <v>0.16041933860227645</v>
      </c>
      <c r="AQ75" s="9" t="str">
        <f t="shared" si="46"/>
        <v>tidak</v>
      </c>
    </row>
    <row r="76" spans="1:43" x14ac:dyDescent="0.35">
      <c r="A76" s="71"/>
      <c r="B76" s="1">
        <v>2019</v>
      </c>
      <c r="C76" s="24">
        <v>-1.0317488519244189E-2</v>
      </c>
      <c r="D76" s="20">
        <v>0.4</v>
      </c>
      <c r="E76" s="25">
        <v>0</v>
      </c>
      <c r="F76" s="1">
        <v>0</v>
      </c>
      <c r="G76" s="1">
        <v>1</v>
      </c>
      <c r="H76" s="45">
        <f t="shared" si="25"/>
        <v>0</v>
      </c>
      <c r="J76" s="54">
        <v>1.1635994234355629E-2</v>
      </c>
      <c r="V76" s="24">
        <f t="shared" si="26"/>
        <v>-0.17088499253085071</v>
      </c>
      <c r="W76" s="9">
        <f t="shared" si="27"/>
        <v>0.17088499253085071</v>
      </c>
      <c r="X76" s="9" t="str">
        <f t="shared" si="28"/>
        <v>tidak</v>
      </c>
      <c r="Y76" s="9">
        <f t="shared" si="29"/>
        <v>-0.30497181968468617</v>
      </c>
      <c r="Z76" s="9">
        <f t="shared" si="30"/>
        <v>0.30497181968468617</v>
      </c>
      <c r="AA76" s="9" t="str">
        <f t="shared" si="31"/>
        <v>tidak</v>
      </c>
      <c r="AB76" s="9">
        <f t="shared" si="32"/>
        <v>-1.0413619623224455</v>
      </c>
      <c r="AC76" s="9">
        <f t="shared" si="33"/>
        <v>1.0413619623224455</v>
      </c>
      <c r="AD76" s="9" t="str">
        <f t="shared" si="34"/>
        <v>tidak</v>
      </c>
      <c r="AE76" s="9">
        <f t="shared" si="35"/>
        <v>-0.37043779228888796</v>
      </c>
      <c r="AF76" s="9">
        <f t="shared" si="36"/>
        <v>0.37043779228888796</v>
      </c>
      <c r="AG76" s="9" t="str">
        <f t="shared" si="37"/>
        <v>tidak</v>
      </c>
      <c r="AH76" s="9">
        <f t="shared" si="38"/>
        <v>-1.4016382078316414</v>
      </c>
      <c r="AI76" s="9">
        <f t="shared" si="39"/>
        <v>1.4016382078316414</v>
      </c>
      <c r="AJ76" s="9" t="str">
        <f t="shared" si="40"/>
        <v>tidak</v>
      </c>
      <c r="AK76" s="9">
        <f t="shared" si="41"/>
        <v>1.2962329189693418</v>
      </c>
      <c r="AL76" s="9">
        <f t="shared" si="42"/>
        <v>1.2962329189693418</v>
      </c>
      <c r="AM76" s="9" t="str">
        <f t="shared" si="43"/>
        <v>tidak</v>
      </c>
      <c r="AO76" s="9">
        <f t="shared" si="44"/>
        <v>2.920709083805921E-2</v>
      </c>
      <c r="AP76" s="9">
        <f t="shared" si="45"/>
        <v>2.920709083805921E-2</v>
      </c>
      <c r="AQ76" s="9" t="str">
        <f t="shared" si="46"/>
        <v>tidak</v>
      </c>
    </row>
    <row r="77" spans="1:43" x14ac:dyDescent="0.35">
      <c r="A77" s="71"/>
      <c r="B77" s="1">
        <v>2020</v>
      </c>
      <c r="C77" s="24">
        <v>8.8646250202396776E-2</v>
      </c>
      <c r="D77" s="20">
        <v>0.4</v>
      </c>
      <c r="E77" s="25">
        <v>0</v>
      </c>
      <c r="F77" s="1">
        <v>1</v>
      </c>
      <c r="G77" s="1">
        <v>1</v>
      </c>
      <c r="H77" s="45">
        <f t="shared" si="25"/>
        <v>0</v>
      </c>
      <c r="J77" s="54">
        <v>-8.5675030902916782E-2</v>
      </c>
      <c r="V77" s="24">
        <f t="shared" si="26"/>
        <v>-0.17088499253085071</v>
      </c>
      <c r="W77" s="9">
        <f t="shared" si="27"/>
        <v>0.17088499253085071</v>
      </c>
      <c r="X77" s="9" t="str">
        <f t="shared" si="28"/>
        <v>tidak</v>
      </c>
      <c r="Y77" s="9">
        <f t="shared" si="29"/>
        <v>0.2023599971425355</v>
      </c>
      <c r="Z77" s="9">
        <f t="shared" si="30"/>
        <v>0.2023599971425355</v>
      </c>
      <c r="AA77" s="9" t="str">
        <f t="shared" si="31"/>
        <v>tidak</v>
      </c>
      <c r="AB77" s="9">
        <f t="shared" si="32"/>
        <v>-1.0413619623224455</v>
      </c>
      <c r="AC77" s="9">
        <f t="shared" si="33"/>
        <v>1.0413619623224455</v>
      </c>
      <c r="AD77" s="9" t="str">
        <f t="shared" si="34"/>
        <v>tidak</v>
      </c>
      <c r="AE77" s="9">
        <f t="shared" si="35"/>
        <v>-0.37043779228888796</v>
      </c>
      <c r="AF77" s="9">
        <f t="shared" si="36"/>
        <v>0.37043779228888796</v>
      </c>
      <c r="AG77" s="9" t="str">
        <f t="shared" si="37"/>
        <v>tidak</v>
      </c>
      <c r="AH77" s="9">
        <f t="shared" si="38"/>
        <v>0.7083547932052382</v>
      </c>
      <c r="AI77" s="9">
        <f t="shared" si="39"/>
        <v>0.7083547932052382</v>
      </c>
      <c r="AJ77" s="9" t="str">
        <f t="shared" si="40"/>
        <v>tidak</v>
      </c>
      <c r="AK77" s="9">
        <f t="shared" si="41"/>
        <v>1.2962329189693418</v>
      </c>
      <c r="AL77" s="9">
        <f t="shared" si="42"/>
        <v>1.2962329189693418</v>
      </c>
      <c r="AM77" s="9" t="str">
        <f t="shared" si="43"/>
        <v>tidak</v>
      </c>
      <c r="AO77" s="9">
        <f t="shared" si="44"/>
        <v>-0.21702479648206696</v>
      </c>
      <c r="AP77" s="9">
        <f t="shared" si="45"/>
        <v>0.21702479648206696</v>
      </c>
      <c r="AQ77" s="9" t="str">
        <f t="shared" si="46"/>
        <v>tidak</v>
      </c>
    </row>
    <row r="78" spans="1:43" x14ac:dyDescent="0.35">
      <c r="A78" s="71"/>
      <c r="B78" s="1">
        <v>2021</v>
      </c>
      <c r="C78" s="24">
        <v>8.3478581640130264E-2</v>
      </c>
      <c r="D78" s="20">
        <v>0.4</v>
      </c>
      <c r="E78" s="25">
        <v>0</v>
      </c>
      <c r="F78" s="1">
        <v>1</v>
      </c>
      <c r="G78" s="1">
        <v>1</v>
      </c>
      <c r="H78" s="45">
        <f t="shared" si="25"/>
        <v>0</v>
      </c>
      <c r="J78" s="54">
        <v>-8.6446482139570513E-3</v>
      </c>
      <c r="V78" s="24">
        <f t="shared" si="26"/>
        <v>-0.17088499253085071</v>
      </c>
      <c r="W78" s="9">
        <f t="shared" si="27"/>
        <v>0.17088499253085071</v>
      </c>
      <c r="X78" s="9" t="str">
        <f t="shared" si="28"/>
        <v>tidak</v>
      </c>
      <c r="Y78" s="9">
        <f t="shared" si="29"/>
        <v>0.17586824658499237</v>
      </c>
      <c r="Z78" s="9">
        <f t="shared" si="30"/>
        <v>0.17586824658499237</v>
      </c>
      <c r="AA78" s="9" t="str">
        <f t="shared" si="31"/>
        <v>tidak</v>
      </c>
      <c r="AB78" s="9">
        <f t="shared" si="32"/>
        <v>-1.0413619623224455</v>
      </c>
      <c r="AC78" s="9">
        <f t="shared" si="33"/>
        <v>1.0413619623224455</v>
      </c>
      <c r="AD78" s="9" t="str">
        <f t="shared" si="34"/>
        <v>tidak</v>
      </c>
      <c r="AE78" s="9">
        <f t="shared" si="35"/>
        <v>-0.37043779228888796</v>
      </c>
      <c r="AF78" s="9">
        <f t="shared" si="36"/>
        <v>0.37043779228888796</v>
      </c>
      <c r="AG78" s="9" t="str">
        <f t="shared" si="37"/>
        <v>tidak</v>
      </c>
      <c r="AH78" s="9">
        <f t="shared" si="38"/>
        <v>0.7083547932052382</v>
      </c>
      <c r="AI78" s="9">
        <f t="shared" si="39"/>
        <v>0.7083547932052382</v>
      </c>
      <c r="AJ78" s="9" t="str">
        <f t="shared" si="40"/>
        <v>tidak</v>
      </c>
      <c r="AK78" s="9">
        <f t="shared" si="41"/>
        <v>1.2962329189693418</v>
      </c>
      <c r="AL78" s="9">
        <f t="shared" si="42"/>
        <v>1.2962329189693418</v>
      </c>
      <c r="AM78" s="9" t="str">
        <f t="shared" si="43"/>
        <v>tidak</v>
      </c>
      <c r="AO78" s="9">
        <f t="shared" si="44"/>
        <v>-2.2110227616537723E-2</v>
      </c>
      <c r="AP78" s="9">
        <f t="shared" si="45"/>
        <v>2.2110227616537723E-2</v>
      </c>
      <c r="AQ78" s="9" t="str">
        <f t="shared" si="46"/>
        <v>tidak</v>
      </c>
    </row>
    <row r="79" spans="1:43" x14ac:dyDescent="0.35">
      <c r="A79" s="71" t="s">
        <v>22</v>
      </c>
      <c r="B79" s="1">
        <v>2018</v>
      </c>
      <c r="C79" s="24">
        <v>0.13963496284147192</v>
      </c>
      <c r="D79" s="20">
        <v>0.4</v>
      </c>
      <c r="E79" s="25">
        <v>0</v>
      </c>
      <c r="F79" s="1">
        <v>0</v>
      </c>
      <c r="G79" s="1">
        <v>1</v>
      </c>
      <c r="H79" s="45">
        <f t="shared" si="25"/>
        <v>0</v>
      </c>
      <c r="J79" s="54">
        <v>2.0225241554795131E-2</v>
      </c>
      <c r="V79" s="24">
        <f t="shared" si="26"/>
        <v>-0.17088499253085071</v>
      </c>
      <c r="W79" s="9">
        <f t="shared" si="27"/>
        <v>0.17088499253085071</v>
      </c>
      <c r="X79" s="9" t="str">
        <f t="shared" si="28"/>
        <v>tidak</v>
      </c>
      <c r="Y79" s="9">
        <f t="shared" si="29"/>
        <v>0.4637506494664495</v>
      </c>
      <c r="Z79" s="9">
        <f t="shared" si="30"/>
        <v>0.4637506494664495</v>
      </c>
      <c r="AA79" s="9" t="str">
        <f t="shared" si="31"/>
        <v>tidak</v>
      </c>
      <c r="AB79" s="9">
        <f t="shared" si="32"/>
        <v>-1.0413619623224455</v>
      </c>
      <c r="AC79" s="9">
        <f t="shared" si="33"/>
        <v>1.0413619623224455</v>
      </c>
      <c r="AD79" s="9" t="str">
        <f t="shared" si="34"/>
        <v>tidak</v>
      </c>
      <c r="AE79" s="9">
        <f t="shared" si="35"/>
        <v>-0.37043779228888796</v>
      </c>
      <c r="AF79" s="9">
        <f t="shared" si="36"/>
        <v>0.37043779228888796</v>
      </c>
      <c r="AG79" s="9" t="str">
        <f t="shared" si="37"/>
        <v>tidak</v>
      </c>
      <c r="AH79" s="9">
        <f t="shared" si="38"/>
        <v>-1.4016382078316414</v>
      </c>
      <c r="AI79" s="9">
        <f t="shared" si="39"/>
        <v>1.4016382078316414</v>
      </c>
      <c r="AJ79" s="9" t="str">
        <f t="shared" si="40"/>
        <v>tidak</v>
      </c>
      <c r="AK79" s="9">
        <f t="shared" si="41"/>
        <v>1.2962329189693418</v>
      </c>
      <c r="AL79" s="9">
        <f t="shared" si="42"/>
        <v>1.2962329189693418</v>
      </c>
      <c r="AM79" s="9" t="str">
        <f t="shared" si="43"/>
        <v>tidak</v>
      </c>
      <c r="AO79" s="9">
        <f t="shared" si="44"/>
        <v>5.0940975311968437E-2</v>
      </c>
      <c r="AP79" s="9">
        <f t="shared" si="45"/>
        <v>5.0940975311968437E-2</v>
      </c>
      <c r="AQ79" s="9" t="str">
        <f t="shared" si="46"/>
        <v>tidak</v>
      </c>
    </row>
    <row r="80" spans="1:43" x14ac:dyDescent="0.35">
      <c r="A80" s="71"/>
      <c r="B80" s="1">
        <v>2019</v>
      </c>
      <c r="C80" s="24">
        <v>-6.3001887212034202E-2</v>
      </c>
      <c r="D80" s="20">
        <v>0.4</v>
      </c>
      <c r="E80" s="25">
        <v>0</v>
      </c>
      <c r="F80" s="1">
        <v>1</v>
      </c>
      <c r="G80" s="1">
        <v>1</v>
      </c>
      <c r="H80" s="45">
        <f t="shared" si="25"/>
        <v>0</v>
      </c>
      <c r="J80" s="54">
        <v>0.15663912287405346</v>
      </c>
      <c r="V80" s="24">
        <f t="shared" si="26"/>
        <v>-0.17088499253085071</v>
      </c>
      <c r="W80" s="9">
        <f t="shared" si="27"/>
        <v>0.17088499253085071</v>
      </c>
      <c r="X80" s="9" t="str">
        <f t="shared" si="28"/>
        <v>tidak</v>
      </c>
      <c r="Y80" s="9">
        <f t="shared" si="29"/>
        <v>-0.57505530735932875</v>
      </c>
      <c r="Z80" s="9">
        <f t="shared" si="30"/>
        <v>0.57505530735932875</v>
      </c>
      <c r="AA80" s="9" t="str">
        <f t="shared" si="31"/>
        <v>tidak</v>
      </c>
      <c r="AB80" s="9">
        <f t="shared" si="32"/>
        <v>-1.0413619623224455</v>
      </c>
      <c r="AC80" s="9">
        <f t="shared" si="33"/>
        <v>1.0413619623224455</v>
      </c>
      <c r="AD80" s="9" t="str">
        <f t="shared" si="34"/>
        <v>tidak</v>
      </c>
      <c r="AE80" s="9">
        <f t="shared" si="35"/>
        <v>-0.37043779228888796</v>
      </c>
      <c r="AF80" s="9">
        <f t="shared" si="36"/>
        <v>0.37043779228888796</v>
      </c>
      <c r="AG80" s="9" t="str">
        <f t="shared" si="37"/>
        <v>tidak</v>
      </c>
      <c r="AH80" s="9">
        <f t="shared" si="38"/>
        <v>0.7083547932052382</v>
      </c>
      <c r="AI80" s="9">
        <f t="shared" si="39"/>
        <v>0.7083547932052382</v>
      </c>
      <c r="AJ80" s="9" t="str">
        <f t="shared" si="40"/>
        <v>tidak</v>
      </c>
      <c r="AK80" s="9">
        <f t="shared" si="41"/>
        <v>1.2962329189693418</v>
      </c>
      <c r="AL80" s="9">
        <f t="shared" si="42"/>
        <v>1.2962329189693418</v>
      </c>
      <c r="AM80" s="9" t="str">
        <f t="shared" si="43"/>
        <v>tidak</v>
      </c>
      <c r="AO80" s="9">
        <f t="shared" si="44"/>
        <v>0.3961171504321207</v>
      </c>
      <c r="AP80" s="9">
        <f t="shared" si="45"/>
        <v>0.3961171504321207</v>
      </c>
      <c r="AQ80" s="9" t="str">
        <f t="shared" si="46"/>
        <v>tidak</v>
      </c>
    </row>
    <row r="81" spans="1:43" x14ac:dyDescent="0.35">
      <c r="A81" s="71"/>
      <c r="B81" s="1">
        <v>2020</v>
      </c>
      <c r="C81" s="24">
        <v>-0.3611904966286511</v>
      </c>
      <c r="D81" s="20">
        <v>0.4</v>
      </c>
      <c r="E81" s="25">
        <v>0</v>
      </c>
      <c r="F81" s="1">
        <v>1</v>
      </c>
      <c r="G81" s="1">
        <v>1</v>
      </c>
      <c r="H81" s="45">
        <f t="shared" si="25"/>
        <v>0</v>
      </c>
      <c r="J81" s="54">
        <v>0.17418821424331787</v>
      </c>
      <c r="V81" s="24">
        <f t="shared" si="26"/>
        <v>-0.17088499253085071</v>
      </c>
      <c r="W81" s="9">
        <f t="shared" si="27"/>
        <v>0.17088499253085071</v>
      </c>
      <c r="X81" s="9" t="str">
        <f t="shared" si="28"/>
        <v>tidak</v>
      </c>
      <c r="Y81" s="9">
        <f t="shared" si="29"/>
        <v>-2.103701768443702</v>
      </c>
      <c r="Z81" s="9">
        <f t="shared" si="30"/>
        <v>2.103701768443702</v>
      </c>
      <c r="AA81" s="9" t="str">
        <f t="shared" si="31"/>
        <v>tidak</v>
      </c>
      <c r="AB81" s="9">
        <f t="shared" si="32"/>
        <v>-1.0413619623224455</v>
      </c>
      <c r="AC81" s="9">
        <f t="shared" si="33"/>
        <v>1.0413619623224455</v>
      </c>
      <c r="AD81" s="9" t="str">
        <f t="shared" si="34"/>
        <v>tidak</v>
      </c>
      <c r="AE81" s="9">
        <f t="shared" si="35"/>
        <v>-0.37043779228888796</v>
      </c>
      <c r="AF81" s="9">
        <f t="shared" si="36"/>
        <v>0.37043779228888796</v>
      </c>
      <c r="AG81" s="9" t="str">
        <f t="shared" si="37"/>
        <v>tidak</v>
      </c>
      <c r="AH81" s="9">
        <f t="shared" si="38"/>
        <v>0.7083547932052382</v>
      </c>
      <c r="AI81" s="9">
        <f t="shared" si="39"/>
        <v>0.7083547932052382</v>
      </c>
      <c r="AJ81" s="9" t="str">
        <f t="shared" si="40"/>
        <v>tidak</v>
      </c>
      <c r="AK81" s="9">
        <f t="shared" si="41"/>
        <v>1.2962329189693418</v>
      </c>
      <c r="AL81" s="9">
        <f t="shared" si="42"/>
        <v>1.2962329189693418</v>
      </c>
      <c r="AM81" s="9" t="str">
        <f t="shared" si="43"/>
        <v>tidak</v>
      </c>
      <c r="AO81" s="9">
        <f t="shared" si="44"/>
        <v>0.44052266237192056</v>
      </c>
      <c r="AP81" s="9">
        <f t="shared" si="45"/>
        <v>0.44052266237192056</v>
      </c>
      <c r="AQ81" s="9" t="str">
        <f t="shared" si="46"/>
        <v>tidak</v>
      </c>
    </row>
    <row r="82" spans="1:43" x14ac:dyDescent="0.35">
      <c r="A82" s="71"/>
      <c r="B82" s="1">
        <v>2021</v>
      </c>
      <c r="C82" s="24">
        <v>-2.5099447319322701E-2</v>
      </c>
      <c r="D82" s="20">
        <v>0.4</v>
      </c>
      <c r="E82" s="25">
        <v>0</v>
      </c>
      <c r="F82" s="1">
        <v>1</v>
      </c>
      <c r="G82" s="1">
        <v>1</v>
      </c>
      <c r="H82" s="45">
        <f t="shared" si="25"/>
        <v>0</v>
      </c>
      <c r="J82" s="54">
        <v>-0.28565132519668723</v>
      </c>
      <c r="V82" s="24">
        <f t="shared" si="26"/>
        <v>-0.17088499253085071</v>
      </c>
      <c r="W82" s="9">
        <f t="shared" si="27"/>
        <v>0.17088499253085071</v>
      </c>
      <c r="X82" s="9" t="str">
        <f t="shared" si="28"/>
        <v>tidak</v>
      </c>
      <c r="Y82" s="9">
        <f t="shared" si="29"/>
        <v>-0.38075066667633733</v>
      </c>
      <c r="Z82" s="9">
        <f t="shared" si="30"/>
        <v>0.38075066667633733</v>
      </c>
      <c r="AA82" s="9" t="str">
        <f t="shared" si="31"/>
        <v>tidak</v>
      </c>
      <c r="AB82" s="9">
        <f t="shared" si="32"/>
        <v>-1.0413619623224455</v>
      </c>
      <c r="AC82" s="9">
        <f t="shared" si="33"/>
        <v>1.0413619623224455</v>
      </c>
      <c r="AD82" s="9" t="str">
        <f t="shared" si="34"/>
        <v>tidak</v>
      </c>
      <c r="AE82" s="9">
        <f t="shared" si="35"/>
        <v>-0.37043779228888796</v>
      </c>
      <c r="AF82" s="9">
        <f t="shared" si="36"/>
        <v>0.37043779228888796</v>
      </c>
      <c r="AG82" s="9" t="str">
        <f t="shared" si="37"/>
        <v>tidak</v>
      </c>
      <c r="AH82" s="9">
        <f t="shared" si="38"/>
        <v>0.7083547932052382</v>
      </c>
      <c r="AI82" s="9">
        <f t="shared" si="39"/>
        <v>0.7083547932052382</v>
      </c>
      <c r="AJ82" s="9" t="str">
        <f t="shared" si="40"/>
        <v>tidak</v>
      </c>
      <c r="AK82" s="9">
        <f t="shared" si="41"/>
        <v>1.2962329189693418</v>
      </c>
      <c r="AL82" s="9">
        <f t="shared" si="42"/>
        <v>1.2962329189693418</v>
      </c>
      <c r="AM82" s="9" t="str">
        <f t="shared" si="43"/>
        <v>tidak</v>
      </c>
      <c r="AO82" s="9">
        <f t="shared" si="44"/>
        <v>-0.72303673391442469</v>
      </c>
      <c r="AP82" s="9">
        <f t="shared" si="45"/>
        <v>0.72303673391442469</v>
      </c>
      <c r="AQ82" s="9" t="str">
        <f t="shared" si="46"/>
        <v>tidak</v>
      </c>
    </row>
    <row r="83" spans="1:43" ht="15.5" customHeight="1" x14ac:dyDescent="0.35">
      <c r="A83" s="67" t="s">
        <v>78</v>
      </c>
      <c r="B83" s="25">
        <v>2018</v>
      </c>
      <c r="C83" s="34">
        <v>-1.4097093222124999E-2</v>
      </c>
      <c r="D83" s="20">
        <v>0.5</v>
      </c>
      <c r="E83" s="25">
        <v>0</v>
      </c>
      <c r="F83" s="25">
        <v>0</v>
      </c>
      <c r="G83" s="25">
        <v>0</v>
      </c>
      <c r="H83" s="45">
        <f t="shared" si="25"/>
        <v>0</v>
      </c>
      <c r="J83" s="54">
        <v>8.2662347051236207E-2</v>
      </c>
      <c r="V83" s="24">
        <f t="shared" si="26"/>
        <v>-0.17088499253085071</v>
      </c>
      <c r="W83" s="9">
        <f t="shared" si="27"/>
        <v>0.17088499253085071</v>
      </c>
      <c r="X83" s="9" t="str">
        <f t="shared" si="28"/>
        <v>tidak</v>
      </c>
      <c r="Y83" s="9">
        <f t="shared" si="29"/>
        <v>-0.32434774207374123</v>
      </c>
      <c r="Z83" s="9">
        <f t="shared" si="30"/>
        <v>0.32434774207374123</v>
      </c>
      <c r="AA83" s="9" t="str">
        <f t="shared" si="31"/>
        <v>tidak</v>
      </c>
      <c r="AB83" s="9">
        <f t="shared" si="32"/>
        <v>-0.20601829049288331</v>
      </c>
      <c r="AC83" s="9">
        <f t="shared" si="33"/>
        <v>0.20601829049288331</v>
      </c>
      <c r="AD83" s="9" t="str">
        <f t="shared" si="34"/>
        <v>tidak</v>
      </c>
      <c r="AE83" s="9">
        <f t="shared" si="35"/>
        <v>-0.37043779228888796</v>
      </c>
      <c r="AF83" s="9">
        <f t="shared" si="36"/>
        <v>0.37043779228888796</v>
      </c>
      <c r="AG83" s="9" t="str">
        <f t="shared" si="37"/>
        <v>tidak</v>
      </c>
      <c r="AH83" s="9">
        <f t="shared" si="38"/>
        <v>-1.4016382078316414</v>
      </c>
      <c r="AI83" s="9">
        <f t="shared" si="39"/>
        <v>1.4016382078316414</v>
      </c>
      <c r="AJ83" s="9" t="str">
        <f t="shared" si="40"/>
        <v>tidak</v>
      </c>
      <c r="AK83" s="9">
        <f t="shared" si="41"/>
        <v>-0.76595581575461114</v>
      </c>
      <c r="AL83" s="9">
        <f t="shared" si="42"/>
        <v>0.76595581575461114</v>
      </c>
      <c r="AM83" s="9" t="str">
        <f t="shared" si="43"/>
        <v>tidak</v>
      </c>
      <c r="AO83" s="9">
        <f t="shared" si="44"/>
        <v>0.20892930503624244</v>
      </c>
      <c r="AP83" s="9">
        <f t="shared" si="45"/>
        <v>0.20892930503624244</v>
      </c>
      <c r="AQ83" s="9" t="str">
        <f t="shared" si="46"/>
        <v>tidak</v>
      </c>
    </row>
    <row r="84" spans="1:43" ht="15.5" customHeight="1" x14ac:dyDescent="0.35">
      <c r="A84" s="68"/>
      <c r="B84" s="25">
        <v>2019</v>
      </c>
      <c r="C84" s="34">
        <v>9.1049584836927724E-2</v>
      </c>
      <c r="D84" s="20">
        <v>0.5</v>
      </c>
      <c r="E84" s="25">
        <v>0</v>
      </c>
      <c r="F84" s="25">
        <v>0</v>
      </c>
      <c r="G84" s="25">
        <v>0</v>
      </c>
      <c r="H84" s="45">
        <f t="shared" si="25"/>
        <v>0</v>
      </c>
      <c r="J84" s="54">
        <v>-7.2975167134772576E-2</v>
      </c>
      <c r="V84" s="24">
        <f t="shared" si="26"/>
        <v>-0.17088499253085071</v>
      </c>
      <c r="W84" s="9">
        <f t="shared" si="27"/>
        <v>0.17088499253085071</v>
      </c>
      <c r="X84" s="9" t="str">
        <f t="shared" si="28"/>
        <v>tidak</v>
      </c>
      <c r="Y84" s="9">
        <f t="shared" si="29"/>
        <v>0.21468055154286905</v>
      </c>
      <c r="Z84" s="9">
        <f t="shared" si="30"/>
        <v>0.21468055154286905</v>
      </c>
      <c r="AA84" s="9" t="str">
        <f t="shared" si="31"/>
        <v>tidak</v>
      </c>
      <c r="AB84" s="9">
        <f t="shared" si="32"/>
        <v>-0.20601829049288331</v>
      </c>
      <c r="AC84" s="9">
        <f t="shared" si="33"/>
        <v>0.20601829049288331</v>
      </c>
      <c r="AD84" s="9" t="str">
        <f t="shared" si="34"/>
        <v>tidak</v>
      </c>
      <c r="AE84" s="9">
        <f t="shared" si="35"/>
        <v>-0.37043779228888796</v>
      </c>
      <c r="AF84" s="9">
        <f t="shared" si="36"/>
        <v>0.37043779228888796</v>
      </c>
      <c r="AG84" s="9" t="str">
        <f t="shared" si="37"/>
        <v>tidak</v>
      </c>
      <c r="AH84" s="9">
        <f t="shared" si="38"/>
        <v>-1.4016382078316414</v>
      </c>
      <c r="AI84" s="9">
        <f t="shared" si="39"/>
        <v>1.4016382078316414</v>
      </c>
      <c r="AJ84" s="9" t="str">
        <f t="shared" si="40"/>
        <v>tidak</v>
      </c>
      <c r="AK84" s="9">
        <f t="shared" si="41"/>
        <v>-0.76595581575461114</v>
      </c>
      <c r="AL84" s="9">
        <f t="shared" si="42"/>
        <v>0.76595581575461114</v>
      </c>
      <c r="AM84" s="9" t="str">
        <f t="shared" si="43"/>
        <v>tidak</v>
      </c>
      <c r="AO84" s="9">
        <f t="shared" si="44"/>
        <v>-0.18488957418914223</v>
      </c>
      <c r="AP84" s="9">
        <f t="shared" si="45"/>
        <v>0.18488957418914223</v>
      </c>
      <c r="AQ84" s="9" t="str">
        <f t="shared" si="46"/>
        <v>tidak</v>
      </c>
    </row>
    <row r="85" spans="1:43" ht="15.5" customHeight="1" x14ac:dyDescent="0.35">
      <c r="A85" s="68"/>
      <c r="B85" s="25">
        <v>2020</v>
      </c>
      <c r="C85" s="34">
        <v>-0.25747173202333801</v>
      </c>
      <c r="D85" s="20">
        <v>0.5</v>
      </c>
      <c r="E85" s="25">
        <v>0</v>
      </c>
      <c r="F85" s="25">
        <v>0</v>
      </c>
      <c r="G85" s="25">
        <v>0</v>
      </c>
      <c r="H85" s="45">
        <f t="shared" si="25"/>
        <v>0</v>
      </c>
      <c r="J85" s="54">
        <v>0.28223044323198576</v>
      </c>
      <c r="V85" s="24">
        <f t="shared" si="26"/>
        <v>-0.17088499253085071</v>
      </c>
      <c r="W85" s="9">
        <f t="shared" si="27"/>
        <v>0.17088499253085071</v>
      </c>
      <c r="X85" s="9" t="str">
        <f t="shared" si="28"/>
        <v>tidak</v>
      </c>
      <c r="Y85" s="9">
        <f t="shared" si="29"/>
        <v>-1.571993589609693</v>
      </c>
      <c r="Z85" s="9">
        <f t="shared" si="30"/>
        <v>1.571993589609693</v>
      </c>
      <c r="AA85" s="9" t="str">
        <f t="shared" si="31"/>
        <v>tidak</v>
      </c>
      <c r="AB85" s="9">
        <f t="shared" si="32"/>
        <v>-0.20601829049288331</v>
      </c>
      <c r="AC85" s="9">
        <f t="shared" si="33"/>
        <v>0.20601829049288331</v>
      </c>
      <c r="AD85" s="9" t="str">
        <f t="shared" si="34"/>
        <v>tidak</v>
      </c>
      <c r="AE85" s="9">
        <f t="shared" si="35"/>
        <v>-0.37043779228888796</v>
      </c>
      <c r="AF85" s="9">
        <f t="shared" si="36"/>
        <v>0.37043779228888796</v>
      </c>
      <c r="AG85" s="9" t="str">
        <f t="shared" si="37"/>
        <v>tidak</v>
      </c>
      <c r="AH85" s="9">
        <f t="shared" si="38"/>
        <v>-1.4016382078316414</v>
      </c>
      <c r="AI85" s="9">
        <f t="shared" si="39"/>
        <v>1.4016382078316414</v>
      </c>
      <c r="AJ85" s="9" t="str">
        <f t="shared" si="40"/>
        <v>tidak</v>
      </c>
      <c r="AK85" s="9">
        <f t="shared" si="41"/>
        <v>-0.76595581575461114</v>
      </c>
      <c r="AL85" s="9">
        <f t="shared" si="42"/>
        <v>0.76595581575461114</v>
      </c>
      <c r="AM85" s="9" t="str">
        <f t="shared" si="43"/>
        <v>tidak</v>
      </c>
      <c r="AO85" s="9">
        <f t="shared" si="44"/>
        <v>0.71390835445177103</v>
      </c>
      <c r="AP85" s="9">
        <f t="shared" si="45"/>
        <v>0.71390835445177103</v>
      </c>
      <c r="AQ85" s="9" t="str">
        <f t="shared" si="46"/>
        <v>tidak</v>
      </c>
    </row>
    <row r="86" spans="1:43" ht="15.5" customHeight="1" x14ac:dyDescent="0.35">
      <c r="A86" s="69"/>
      <c r="B86" s="25">
        <v>2021</v>
      </c>
      <c r="C86" s="34">
        <v>-4.3187761876193408E-2</v>
      </c>
      <c r="D86" s="20">
        <v>0.5</v>
      </c>
      <c r="E86" s="25">
        <v>0</v>
      </c>
      <c r="F86" s="25">
        <v>0</v>
      </c>
      <c r="G86" s="25">
        <v>0</v>
      </c>
      <c r="H86" s="45">
        <f t="shared" si="25"/>
        <v>0</v>
      </c>
      <c r="J86" s="54">
        <v>2.4215967616775934E-2</v>
      </c>
      <c r="V86" s="24">
        <f t="shared" si="26"/>
        <v>-0.17088499253085071</v>
      </c>
      <c r="W86" s="9">
        <f t="shared" si="27"/>
        <v>0.17088499253085071</v>
      </c>
      <c r="X86" s="9" t="str">
        <f t="shared" si="28"/>
        <v>tidak</v>
      </c>
      <c r="Y86" s="9">
        <f t="shared" si="29"/>
        <v>-0.47347935302165983</v>
      </c>
      <c r="Z86" s="9">
        <f t="shared" si="30"/>
        <v>0.47347935302165983</v>
      </c>
      <c r="AA86" s="9" t="str">
        <f t="shared" si="31"/>
        <v>tidak</v>
      </c>
      <c r="AB86" s="9">
        <f t="shared" si="32"/>
        <v>-0.20601829049288331</v>
      </c>
      <c r="AC86" s="9">
        <f t="shared" si="33"/>
        <v>0.20601829049288331</v>
      </c>
      <c r="AD86" s="9" t="str">
        <f t="shared" si="34"/>
        <v>tidak</v>
      </c>
      <c r="AE86" s="9">
        <f t="shared" si="35"/>
        <v>-0.37043779228888796</v>
      </c>
      <c r="AF86" s="9">
        <f t="shared" si="36"/>
        <v>0.37043779228888796</v>
      </c>
      <c r="AG86" s="9" t="str">
        <f t="shared" si="37"/>
        <v>tidak</v>
      </c>
      <c r="AH86" s="9">
        <f t="shared" si="38"/>
        <v>-1.4016382078316414</v>
      </c>
      <c r="AI86" s="9">
        <f t="shared" si="39"/>
        <v>1.4016382078316414</v>
      </c>
      <c r="AJ86" s="9" t="str">
        <f t="shared" si="40"/>
        <v>tidak</v>
      </c>
      <c r="AK86" s="9">
        <f t="shared" si="41"/>
        <v>-0.76595581575461114</v>
      </c>
      <c r="AL86" s="9">
        <f t="shared" si="42"/>
        <v>0.76595581575461114</v>
      </c>
      <c r="AM86" s="9" t="str">
        <f t="shared" si="43"/>
        <v>tidak</v>
      </c>
      <c r="AO86" s="9">
        <f t="shared" si="44"/>
        <v>6.1038947341684233E-2</v>
      </c>
      <c r="AP86" s="9">
        <f t="shared" si="45"/>
        <v>6.1038947341684233E-2</v>
      </c>
      <c r="AQ86" s="9" t="str">
        <f t="shared" si="46"/>
        <v>tidak</v>
      </c>
    </row>
    <row r="87" spans="1:43" ht="15.5" customHeight="1" x14ac:dyDescent="0.35">
      <c r="A87" s="67" t="s">
        <v>79</v>
      </c>
      <c r="B87" s="25">
        <v>2018</v>
      </c>
      <c r="C87" s="34">
        <v>-0.10145407496457329</v>
      </c>
      <c r="D87" s="20">
        <v>0.5</v>
      </c>
      <c r="E87" s="25">
        <v>0</v>
      </c>
      <c r="F87" s="25">
        <v>1</v>
      </c>
      <c r="G87" s="25">
        <v>0</v>
      </c>
      <c r="H87" s="45">
        <f t="shared" si="25"/>
        <v>0</v>
      </c>
      <c r="J87" s="54">
        <v>2.8679729661186357E-2</v>
      </c>
      <c r="V87" s="24">
        <f t="shared" si="26"/>
        <v>-0.17088499253085071</v>
      </c>
      <c r="W87" s="9">
        <f t="shared" si="27"/>
        <v>0.17088499253085071</v>
      </c>
      <c r="X87" s="9" t="str">
        <f t="shared" si="28"/>
        <v>tidak</v>
      </c>
      <c r="Y87" s="9">
        <f t="shared" si="29"/>
        <v>-0.77217819828352918</v>
      </c>
      <c r="Z87" s="9">
        <f t="shared" si="30"/>
        <v>0.77217819828352918</v>
      </c>
      <c r="AA87" s="9" t="str">
        <f t="shared" si="31"/>
        <v>tidak</v>
      </c>
      <c r="AB87" s="9">
        <f t="shared" si="32"/>
        <v>-0.20601829049288331</v>
      </c>
      <c r="AC87" s="9">
        <f t="shared" si="33"/>
        <v>0.20601829049288331</v>
      </c>
      <c r="AD87" s="9" t="str">
        <f t="shared" si="34"/>
        <v>tidak</v>
      </c>
      <c r="AE87" s="9">
        <f t="shared" si="35"/>
        <v>-0.37043779228888796</v>
      </c>
      <c r="AF87" s="9">
        <f t="shared" si="36"/>
        <v>0.37043779228888796</v>
      </c>
      <c r="AG87" s="9" t="str">
        <f t="shared" si="37"/>
        <v>tidak</v>
      </c>
      <c r="AH87" s="9">
        <f t="shared" si="38"/>
        <v>0.7083547932052382</v>
      </c>
      <c r="AI87" s="9">
        <f t="shared" si="39"/>
        <v>0.7083547932052382</v>
      </c>
      <c r="AJ87" s="9" t="str">
        <f t="shared" si="40"/>
        <v>tidak</v>
      </c>
      <c r="AK87" s="9">
        <f t="shared" si="41"/>
        <v>-0.76595581575461114</v>
      </c>
      <c r="AL87" s="9">
        <f t="shared" si="42"/>
        <v>0.76595581575461114</v>
      </c>
      <c r="AM87" s="9" t="str">
        <f t="shared" si="43"/>
        <v>tidak</v>
      </c>
      <c r="AO87" s="9">
        <f t="shared" si="44"/>
        <v>7.2333870513982976E-2</v>
      </c>
      <c r="AP87" s="9">
        <f t="shared" si="45"/>
        <v>7.2333870513982976E-2</v>
      </c>
      <c r="AQ87" s="9" t="str">
        <f t="shared" si="46"/>
        <v>tidak</v>
      </c>
    </row>
    <row r="88" spans="1:43" ht="15.5" customHeight="1" x14ac:dyDescent="0.35">
      <c r="A88" s="68"/>
      <c r="B88" s="25">
        <v>2019</v>
      </c>
      <c r="C88" s="34">
        <v>4.8307564715847129E-2</v>
      </c>
      <c r="D88" s="20">
        <v>0.375</v>
      </c>
      <c r="E88" s="25">
        <v>0</v>
      </c>
      <c r="F88" s="25">
        <v>1</v>
      </c>
      <c r="G88" s="25">
        <v>0</v>
      </c>
      <c r="H88" s="45">
        <f t="shared" si="25"/>
        <v>0</v>
      </c>
      <c r="J88" s="54">
        <v>-0.266470152370818</v>
      </c>
      <c r="V88" s="24">
        <f t="shared" si="26"/>
        <v>-0.17088499253085071</v>
      </c>
      <c r="W88" s="9">
        <f t="shared" si="27"/>
        <v>0.17088499253085071</v>
      </c>
      <c r="X88" s="9" t="str">
        <f t="shared" si="28"/>
        <v>tidak</v>
      </c>
      <c r="Y88" s="9">
        <f t="shared" si="29"/>
        <v>-4.4339140482701055E-3</v>
      </c>
      <c r="Z88" s="9">
        <f t="shared" si="30"/>
        <v>4.4339140482701055E-3</v>
      </c>
      <c r="AA88" s="9" t="str">
        <f t="shared" si="31"/>
        <v>tidak</v>
      </c>
      <c r="AB88" s="9">
        <f t="shared" si="32"/>
        <v>-1.2501978802798361</v>
      </c>
      <c r="AC88" s="9">
        <f t="shared" si="33"/>
        <v>1.2501978802798361</v>
      </c>
      <c r="AD88" s="9" t="str">
        <f t="shared" si="34"/>
        <v>tidak</v>
      </c>
      <c r="AE88" s="9">
        <f t="shared" si="35"/>
        <v>-0.37043779228888796</v>
      </c>
      <c r="AF88" s="9">
        <f t="shared" si="36"/>
        <v>0.37043779228888796</v>
      </c>
      <c r="AG88" s="9" t="str">
        <f t="shared" si="37"/>
        <v>tidak</v>
      </c>
      <c r="AH88" s="9">
        <f t="shared" si="38"/>
        <v>0.7083547932052382</v>
      </c>
      <c r="AI88" s="9">
        <f t="shared" si="39"/>
        <v>0.7083547932052382</v>
      </c>
      <c r="AJ88" s="9" t="str">
        <f t="shared" si="40"/>
        <v>tidak</v>
      </c>
      <c r="AK88" s="9">
        <f t="shared" si="41"/>
        <v>-0.76595581575461114</v>
      </c>
      <c r="AL88" s="9">
        <f t="shared" si="42"/>
        <v>0.76595581575461114</v>
      </c>
      <c r="AM88" s="9" t="str">
        <f t="shared" si="43"/>
        <v>tidak</v>
      </c>
      <c r="AO88" s="9">
        <f t="shared" si="44"/>
        <v>-0.67450146898154839</v>
      </c>
      <c r="AP88" s="9">
        <f t="shared" si="45"/>
        <v>0.67450146898154839</v>
      </c>
      <c r="AQ88" s="9" t="str">
        <f t="shared" si="46"/>
        <v>tidak</v>
      </c>
    </row>
    <row r="89" spans="1:43" ht="15.5" customHeight="1" x14ac:dyDescent="0.35">
      <c r="A89" s="68"/>
      <c r="B89" s="25">
        <v>2020</v>
      </c>
      <c r="C89" s="34">
        <v>-0.20272101377551846</v>
      </c>
      <c r="D89" s="20">
        <v>0.375</v>
      </c>
      <c r="E89" s="25">
        <v>1</v>
      </c>
      <c r="F89" s="25">
        <v>1</v>
      </c>
      <c r="G89" s="25">
        <v>0</v>
      </c>
      <c r="H89" s="45">
        <f t="shared" si="25"/>
        <v>0</v>
      </c>
      <c r="J89" s="54">
        <v>0.98193671363237534</v>
      </c>
      <c r="V89" s="24">
        <f t="shared" si="26"/>
        <v>-0.17088499253085071</v>
      </c>
      <c r="W89" s="9">
        <f t="shared" si="27"/>
        <v>0.17088499253085071</v>
      </c>
      <c r="X89" s="9" t="str">
        <f t="shared" si="28"/>
        <v>tidak</v>
      </c>
      <c r="Y89" s="9">
        <f t="shared" si="29"/>
        <v>-1.2913172356232052</v>
      </c>
      <c r="Z89" s="9">
        <f t="shared" si="30"/>
        <v>1.2913172356232052</v>
      </c>
      <c r="AA89" s="9" t="str">
        <f t="shared" si="31"/>
        <v>tidak</v>
      </c>
      <c r="AB89" s="9">
        <f t="shared" si="32"/>
        <v>-1.2501978802798361</v>
      </c>
      <c r="AC89" s="9">
        <f t="shared" si="33"/>
        <v>1.2501978802798361</v>
      </c>
      <c r="AD89" s="9" t="str">
        <f t="shared" si="34"/>
        <v>tidak</v>
      </c>
      <c r="AE89" s="9">
        <f t="shared" si="35"/>
        <v>2.6802263795019541</v>
      </c>
      <c r="AF89" s="9">
        <f t="shared" si="36"/>
        <v>2.6802263795019541</v>
      </c>
      <c r="AG89" s="9" t="str">
        <f t="shared" si="37"/>
        <v>tidak</v>
      </c>
      <c r="AH89" s="9">
        <f t="shared" si="38"/>
        <v>0.7083547932052382</v>
      </c>
      <c r="AI89" s="9">
        <f t="shared" si="39"/>
        <v>0.7083547932052382</v>
      </c>
      <c r="AJ89" s="9" t="str">
        <f t="shared" si="40"/>
        <v>tidak</v>
      </c>
      <c r="AK89" s="9">
        <f t="shared" si="41"/>
        <v>-0.76595581575461114</v>
      </c>
      <c r="AL89" s="9">
        <f t="shared" si="42"/>
        <v>0.76595581575461114</v>
      </c>
      <c r="AM89" s="9" t="str">
        <f t="shared" si="43"/>
        <v>tidak</v>
      </c>
      <c r="AO89" s="9">
        <f t="shared" si="44"/>
        <v>2.4844168378160401</v>
      </c>
      <c r="AP89" s="9">
        <f t="shared" si="45"/>
        <v>2.4844168378160401</v>
      </c>
      <c r="AQ89" s="9" t="str">
        <f t="shared" si="46"/>
        <v>tidak</v>
      </c>
    </row>
    <row r="90" spans="1:43" ht="15.5" customHeight="1" x14ac:dyDescent="0.35">
      <c r="A90" s="69"/>
      <c r="B90" s="25">
        <v>2021</v>
      </c>
      <c r="C90" s="34">
        <v>0.11605280244039368</v>
      </c>
      <c r="D90" s="20">
        <v>0.625</v>
      </c>
      <c r="E90" s="25">
        <v>0</v>
      </c>
      <c r="F90" s="25">
        <v>1</v>
      </c>
      <c r="G90" s="25">
        <v>0</v>
      </c>
      <c r="H90" s="45">
        <f t="shared" si="25"/>
        <v>0</v>
      </c>
      <c r="J90" s="54">
        <v>-0.60541299112469327</v>
      </c>
      <c r="V90" s="24">
        <f t="shared" si="26"/>
        <v>-0.17088499253085071</v>
      </c>
      <c r="W90" s="9">
        <f t="shared" si="27"/>
        <v>0.17088499253085071</v>
      </c>
      <c r="X90" s="9" t="str">
        <f t="shared" si="28"/>
        <v>tidak</v>
      </c>
      <c r="Y90" s="9">
        <f t="shared" si="29"/>
        <v>0.34285808381023952</v>
      </c>
      <c r="Z90" s="9">
        <f t="shared" si="30"/>
        <v>0.34285808381023952</v>
      </c>
      <c r="AA90" s="9" t="str">
        <f t="shared" si="31"/>
        <v>tidak</v>
      </c>
      <c r="AB90" s="9">
        <f t="shared" si="32"/>
        <v>0.83816129929406957</v>
      </c>
      <c r="AC90" s="9">
        <f t="shared" si="33"/>
        <v>0.83816129929406957</v>
      </c>
      <c r="AD90" s="9" t="str">
        <f t="shared" si="34"/>
        <v>tidak</v>
      </c>
      <c r="AE90" s="9">
        <f t="shared" si="35"/>
        <v>-0.37043779228888796</v>
      </c>
      <c r="AF90" s="9">
        <f t="shared" si="36"/>
        <v>0.37043779228888796</v>
      </c>
      <c r="AG90" s="9" t="str">
        <f t="shared" si="37"/>
        <v>tidak</v>
      </c>
      <c r="AH90" s="9">
        <f t="shared" si="38"/>
        <v>0.7083547932052382</v>
      </c>
      <c r="AI90" s="9">
        <f t="shared" si="39"/>
        <v>0.7083547932052382</v>
      </c>
      <c r="AJ90" s="9" t="str">
        <f t="shared" si="40"/>
        <v>tidak</v>
      </c>
      <c r="AK90" s="9">
        <f t="shared" si="41"/>
        <v>-0.76595581575461114</v>
      </c>
      <c r="AL90" s="9">
        <f t="shared" si="42"/>
        <v>0.76595581575461114</v>
      </c>
      <c r="AM90" s="9" t="str">
        <f t="shared" si="43"/>
        <v>tidak</v>
      </c>
      <c r="AO90" s="9">
        <f t="shared" si="44"/>
        <v>-1.5321487372358558</v>
      </c>
      <c r="AP90" s="9">
        <f t="shared" si="45"/>
        <v>1.5321487372358558</v>
      </c>
      <c r="AQ90" s="9" t="str">
        <f t="shared" si="46"/>
        <v>tidak</v>
      </c>
    </row>
    <row r="91" spans="1:43" ht="15.5" customHeight="1" x14ac:dyDescent="0.35">
      <c r="A91" s="67" t="s">
        <v>80</v>
      </c>
      <c r="B91" s="25">
        <v>2018</v>
      </c>
      <c r="C91" s="34">
        <v>2.328977281723912E-2</v>
      </c>
      <c r="D91" s="20">
        <v>0.5</v>
      </c>
      <c r="E91" s="25">
        <v>0</v>
      </c>
      <c r="F91" s="25">
        <v>0</v>
      </c>
      <c r="G91" s="25">
        <v>0</v>
      </c>
      <c r="H91" s="45">
        <f t="shared" si="25"/>
        <v>0</v>
      </c>
      <c r="J91" s="54">
        <v>-4.6262083502291308E-2</v>
      </c>
      <c r="V91" s="24">
        <f t="shared" si="26"/>
        <v>-0.17088499253085071</v>
      </c>
      <c r="W91" s="9">
        <f t="shared" si="27"/>
        <v>0.17088499253085071</v>
      </c>
      <c r="X91" s="9" t="str">
        <f t="shared" si="28"/>
        <v>tidak</v>
      </c>
      <c r="Y91" s="9">
        <f t="shared" si="29"/>
        <v>-0.13268616058703842</v>
      </c>
      <c r="Z91" s="9">
        <f t="shared" si="30"/>
        <v>0.13268616058703842</v>
      </c>
      <c r="AA91" s="9" t="str">
        <f t="shared" si="31"/>
        <v>tidak</v>
      </c>
      <c r="AB91" s="9">
        <f t="shared" si="32"/>
        <v>-0.20601829049288331</v>
      </c>
      <c r="AC91" s="9">
        <f t="shared" si="33"/>
        <v>0.20601829049288331</v>
      </c>
      <c r="AD91" s="9" t="str">
        <f t="shared" si="34"/>
        <v>tidak</v>
      </c>
      <c r="AE91" s="9">
        <f t="shared" si="35"/>
        <v>-0.37043779228888796</v>
      </c>
      <c r="AF91" s="9">
        <f t="shared" si="36"/>
        <v>0.37043779228888796</v>
      </c>
      <c r="AG91" s="9" t="str">
        <f t="shared" si="37"/>
        <v>tidak</v>
      </c>
      <c r="AH91" s="9">
        <f t="shared" si="38"/>
        <v>-1.4016382078316414</v>
      </c>
      <c r="AI91" s="9">
        <f t="shared" si="39"/>
        <v>1.4016382078316414</v>
      </c>
      <c r="AJ91" s="9" t="str">
        <f t="shared" si="40"/>
        <v>tidak</v>
      </c>
      <c r="AK91" s="9">
        <f t="shared" si="41"/>
        <v>-0.76595581575461114</v>
      </c>
      <c r="AL91" s="9">
        <f t="shared" si="42"/>
        <v>0.76595581575461114</v>
      </c>
      <c r="AM91" s="9" t="str">
        <f t="shared" si="43"/>
        <v>tidak</v>
      </c>
      <c r="AO91" s="9">
        <f t="shared" si="44"/>
        <v>-0.11729586638791946</v>
      </c>
      <c r="AP91" s="9">
        <f t="shared" si="45"/>
        <v>0.11729586638791946</v>
      </c>
      <c r="AQ91" s="9" t="str">
        <f t="shared" si="46"/>
        <v>tidak</v>
      </c>
    </row>
    <row r="92" spans="1:43" ht="15.5" customHeight="1" x14ac:dyDescent="0.35">
      <c r="A92" s="68"/>
      <c r="B92" s="25">
        <v>2019</v>
      </c>
      <c r="C92" s="34">
        <v>6.6743910438764362E-2</v>
      </c>
      <c r="D92" s="20">
        <v>0.5</v>
      </c>
      <c r="E92" s="25">
        <v>0</v>
      </c>
      <c r="F92" s="25">
        <v>0</v>
      </c>
      <c r="G92" s="25">
        <v>0</v>
      </c>
      <c r="H92" s="45">
        <f t="shared" si="25"/>
        <v>0</v>
      </c>
      <c r="J92" s="54">
        <v>-1.5668382489753292E-2</v>
      </c>
      <c r="V92" s="24">
        <f t="shared" si="26"/>
        <v>-0.17088499253085071</v>
      </c>
      <c r="W92" s="9">
        <f t="shared" si="27"/>
        <v>0.17088499253085071</v>
      </c>
      <c r="X92" s="9" t="str">
        <f t="shared" si="28"/>
        <v>tidak</v>
      </c>
      <c r="Y92" s="9">
        <f t="shared" si="29"/>
        <v>9.0078933708733933E-2</v>
      </c>
      <c r="Z92" s="9">
        <f t="shared" si="30"/>
        <v>9.0078933708733933E-2</v>
      </c>
      <c r="AA92" s="9" t="str">
        <f t="shared" si="31"/>
        <v>tidak</v>
      </c>
      <c r="AB92" s="9">
        <f t="shared" si="32"/>
        <v>-0.20601829049288331</v>
      </c>
      <c r="AC92" s="9">
        <f t="shared" si="33"/>
        <v>0.20601829049288331</v>
      </c>
      <c r="AD92" s="9" t="str">
        <f t="shared" si="34"/>
        <v>tidak</v>
      </c>
      <c r="AE92" s="9">
        <f t="shared" si="35"/>
        <v>-0.37043779228888796</v>
      </c>
      <c r="AF92" s="9">
        <f t="shared" si="36"/>
        <v>0.37043779228888796</v>
      </c>
      <c r="AG92" s="9" t="str">
        <f t="shared" si="37"/>
        <v>tidak</v>
      </c>
      <c r="AH92" s="9">
        <f t="shared" si="38"/>
        <v>-1.4016382078316414</v>
      </c>
      <c r="AI92" s="9">
        <f t="shared" si="39"/>
        <v>1.4016382078316414</v>
      </c>
      <c r="AJ92" s="9" t="str">
        <f t="shared" si="40"/>
        <v>tidak</v>
      </c>
      <c r="AK92" s="9">
        <f t="shared" si="41"/>
        <v>-0.76595581575461114</v>
      </c>
      <c r="AL92" s="9">
        <f t="shared" si="42"/>
        <v>0.76595581575461114</v>
      </c>
      <c r="AM92" s="9" t="str">
        <f t="shared" si="43"/>
        <v>tidak</v>
      </c>
      <c r="AO92" s="9">
        <f t="shared" si="44"/>
        <v>-3.9882801118098145E-2</v>
      </c>
      <c r="AP92" s="9">
        <f t="shared" si="45"/>
        <v>3.9882801118098145E-2</v>
      </c>
      <c r="AQ92" s="9" t="str">
        <f t="shared" si="46"/>
        <v>tidak</v>
      </c>
    </row>
    <row r="93" spans="1:43" ht="15.5" customHeight="1" x14ac:dyDescent="0.35">
      <c r="A93" s="68"/>
      <c r="B93" s="25">
        <v>2020</v>
      </c>
      <c r="C93" s="34">
        <v>9.7636829205194745E-2</v>
      </c>
      <c r="D93" s="20">
        <v>0.5</v>
      </c>
      <c r="E93" s="25">
        <v>0</v>
      </c>
      <c r="F93" s="25">
        <v>0</v>
      </c>
      <c r="G93" s="25">
        <v>0</v>
      </c>
      <c r="H93" s="45">
        <f t="shared" si="25"/>
        <v>0</v>
      </c>
      <c r="J93" s="54">
        <v>0.15277164951810757</v>
      </c>
      <c r="V93" s="24">
        <f t="shared" si="26"/>
        <v>-0.17088499253085071</v>
      </c>
      <c r="W93" s="9">
        <f t="shared" si="27"/>
        <v>0.17088499253085071</v>
      </c>
      <c r="X93" s="9" t="str">
        <f t="shared" si="28"/>
        <v>tidak</v>
      </c>
      <c r="Y93" s="9">
        <f t="shared" si="29"/>
        <v>0.24844967441966065</v>
      </c>
      <c r="Z93" s="9">
        <f t="shared" si="30"/>
        <v>0.24844967441966065</v>
      </c>
      <c r="AA93" s="9" t="str">
        <f t="shared" si="31"/>
        <v>tidak</v>
      </c>
      <c r="AB93" s="9">
        <f t="shared" si="32"/>
        <v>-0.20601829049288331</v>
      </c>
      <c r="AC93" s="9">
        <f t="shared" si="33"/>
        <v>0.20601829049288331</v>
      </c>
      <c r="AD93" s="9" t="str">
        <f t="shared" si="34"/>
        <v>tidak</v>
      </c>
      <c r="AE93" s="9">
        <f t="shared" si="35"/>
        <v>-0.37043779228888796</v>
      </c>
      <c r="AF93" s="9">
        <f t="shared" si="36"/>
        <v>0.37043779228888796</v>
      </c>
      <c r="AG93" s="9" t="str">
        <f t="shared" si="37"/>
        <v>tidak</v>
      </c>
      <c r="AH93" s="9">
        <f t="shared" si="38"/>
        <v>-1.4016382078316414</v>
      </c>
      <c r="AI93" s="9">
        <f t="shared" si="39"/>
        <v>1.4016382078316414</v>
      </c>
      <c r="AJ93" s="9" t="str">
        <f t="shared" si="40"/>
        <v>tidak</v>
      </c>
      <c r="AK93" s="9">
        <f t="shared" si="41"/>
        <v>-0.76595581575461114</v>
      </c>
      <c r="AL93" s="9">
        <f t="shared" si="42"/>
        <v>0.76595581575461114</v>
      </c>
      <c r="AM93" s="9" t="str">
        <f t="shared" si="43"/>
        <v>tidak</v>
      </c>
      <c r="AO93" s="9">
        <f t="shared" si="44"/>
        <v>0.38633105207120527</v>
      </c>
      <c r="AP93" s="9">
        <f t="shared" si="45"/>
        <v>0.38633105207120527</v>
      </c>
      <c r="AQ93" s="9" t="str">
        <f t="shared" si="46"/>
        <v>tidak</v>
      </c>
    </row>
    <row r="94" spans="1:43" ht="15.5" customHeight="1" x14ac:dyDescent="0.35">
      <c r="A94" s="69"/>
      <c r="B94" s="25">
        <v>2021</v>
      </c>
      <c r="C94" s="34">
        <v>0.12877320538123577</v>
      </c>
      <c r="D94" s="20">
        <v>0.5</v>
      </c>
      <c r="E94" s="25">
        <v>0</v>
      </c>
      <c r="F94" s="25">
        <v>0</v>
      </c>
      <c r="G94" s="25">
        <v>0</v>
      </c>
      <c r="H94" s="45">
        <f t="shared" si="25"/>
        <v>0</v>
      </c>
      <c r="J94" s="54">
        <v>1.6759696396616577E-2</v>
      </c>
      <c r="V94" s="24">
        <f t="shared" si="26"/>
        <v>-0.17088499253085071</v>
      </c>
      <c r="W94" s="9">
        <f t="shared" si="27"/>
        <v>0.17088499253085071</v>
      </c>
      <c r="X94" s="9" t="str">
        <f t="shared" si="28"/>
        <v>tidak</v>
      </c>
      <c r="Y94" s="9">
        <f t="shared" si="29"/>
        <v>0.40806848529783546</v>
      </c>
      <c r="Z94" s="9">
        <f t="shared" si="30"/>
        <v>0.40806848529783546</v>
      </c>
      <c r="AA94" s="9" t="str">
        <f t="shared" si="31"/>
        <v>tidak</v>
      </c>
      <c r="AB94" s="9">
        <f t="shared" si="32"/>
        <v>-0.20601829049288331</v>
      </c>
      <c r="AC94" s="9">
        <f t="shared" si="33"/>
        <v>0.20601829049288331</v>
      </c>
      <c r="AD94" s="9" t="str">
        <f t="shared" si="34"/>
        <v>tidak</v>
      </c>
      <c r="AE94" s="9">
        <f t="shared" si="35"/>
        <v>-0.37043779228888796</v>
      </c>
      <c r="AF94" s="9">
        <f t="shared" si="36"/>
        <v>0.37043779228888796</v>
      </c>
      <c r="AG94" s="9" t="str">
        <f t="shared" si="37"/>
        <v>tidak</v>
      </c>
      <c r="AH94" s="9">
        <f t="shared" si="38"/>
        <v>-1.4016382078316414</v>
      </c>
      <c r="AI94" s="9">
        <f t="shared" si="39"/>
        <v>1.4016382078316414</v>
      </c>
      <c r="AJ94" s="9" t="str">
        <f t="shared" si="40"/>
        <v>tidak</v>
      </c>
      <c r="AK94" s="9">
        <f t="shared" si="41"/>
        <v>-0.76595581575461114</v>
      </c>
      <c r="AL94" s="9">
        <f t="shared" si="42"/>
        <v>0.76595581575461114</v>
      </c>
      <c r="AM94" s="9" t="str">
        <f t="shared" si="43"/>
        <v>tidak</v>
      </c>
      <c r="AO94" s="9">
        <f t="shared" si="44"/>
        <v>4.2171899827585464E-2</v>
      </c>
      <c r="AP94" s="9">
        <f t="shared" si="45"/>
        <v>4.2171899827585464E-2</v>
      </c>
      <c r="AQ94" s="9" t="str">
        <f t="shared" si="46"/>
        <v>tidak</v>
      </c>
    </row>
    <row r="95" spans="1:43" ht="15.5" customHeight="1" x14ac:dyDescent="0.35">
      <c r="A95" s="67" t="s">
        <v>81</v>
      </c>
      <c r="B95" s="25">
        <v>2018</v>
      </c>
      <c r="C95" s="34">
        <v>0.15029596025824313</v>
      </c>
      <c r="D95" s="20">
        <v>0.625</v>
      </c>
      <c r="E95" s="25">
        <v>0</v>
      </c>
      <c r="F95" s="25">
        <v>1</v>
      </c>
      <c r="G95" s="25">
        <v>0</v>
      </c>
      <c r="H95" s="45">
        <f t="shared" si="25"/>
        <v>0</v>
      </c>
      <c r="J95" s="54">
        <v>-5.7928705400468516E-2</v>
      </c>
      <c r="V95" s="24">
        <f t="shared" si="26"/>
        <v>-0.17088499253085071</v>
      </c>
      <c r="W95" s="9">
        <f t="shared" si="27"/>
        <v>0.17088499253085071</v>
      </c>
      <c r="X95" s="9" t="str">
        <f t="shared" si="28"/>
        <v>tidak</v>
      </c>
      <c r="Y95" s="9">
        <f t="shared" si="29"/>
        <v>0.5184036290174141</v>
      </c>
      <c r="Z95" s="9">
        <f t="shared" si="30"/>
        <v>0.5184036290174141</v>
      </c>
      <c r="AA95" s="9" t="str">
        <f t="shared" si="31"/>
        <v>tidak</v>
      </c>
      <c r="AB95" s="9">
        <f t="shared" si="32"/>
        <v>0.83816129929406957</v>
      </c>
      <c r="AC95" s="9">
        <f t="shared" si="33"/>
        <v>0.83816129929406957</v>
      </c>
      <c r="AD95" s="9" t="str">
        <f t="shared" si="34"/>
        <v>tidak</v>
      </c>
      <c r="AE95" s="9">
        <f t="shared" si="35"/>
        <v>-0.37043779228888796</v>
      </c>
      <c r="AF95" s="9">
        <f t="shared" si="36"/>
        <v>0.37043779228888796</v>
      </c>
      <c r="AG95" s="9" t="str">
        <f t="shared" si="37"/>
        <v>tidak</v>
      </c>
      <c r="AH95" s="9">
        <f t="shared" si="38"/>
        <v>0.7083547932052382</v>
      </c>
      <c r="AI95" s="9">
        <f t="shared" si="39"/>
        <v>0.7083547932052382</v>
      </c>
      <c r="AJ95" s="9" t="str">
        <f t="shared" si="40"/>
        <v>tidak</v>
      </c>
      <c r="AK95" s="9">
        <f t="shared" si="41"/>
        <v>-0.76595581575461114</v>
      </c>
      <c r="AL95" s="9">
        <f t="shared" si="42"/>
        <v>0.76595581575461114</v>
      </c>
      <c r="AM95" s="9" t="str">
        <f t="shared" si="43"/>
        <v>tidak</v>
      </c>
      <c r="AO95" s="9">
        <f t="shared" si="44"/>
        <v>-0.14681661518885031</v>
      </c>
      <c r="AP95" s="9">
        <f t="shared" si="45"/>
        <v>0.14681661518885031</v>
      </c>
      <c r="AQ95" s="9" t="str">
        <f t="shared" si="46"/>
        <v>tidak</v>
      </c>
    </row>
    <row r="96" spans="1:43" ht="15.5" customHeight="1" x14ac:dyDescent="0.35">
      <c r="A96" s="68"/>
      <c r="B96" s="25">
        <v>2019</v>
      </c>
      <c r="C96" s="34">
        <v>9.2420931340080753E-2</v>
      </c>
      <c r="D96" s="20">
        <v>0.5</v>
      </c>
      <c r="E96" s="25">
        <v>0</v>
      </c>
      <c r="F96" s="25">
        <v>1</v>
      </c>
      <c r="G96" s="25">
        <v>0</v>
      </c>
      <c r="H96" s="45">
        <f t="shared" si="25"/>
        <v>0</v>
      </c>
      <c r="J96" s="54">
        <v>3.0793908511200067E-2</v>
      </c>
      <c r="V96" s="24">
        <f t="shared" si="26"/>
        <v>-0.17088499253085071</v>
      </c>
      <c r="W96" s="9">
        <f t="shared" si="27"/>
        <v>0.17088499253085071</v>
      </c>
      <c r="X96" s="9" t="str">
        <f t="shared" si="28"/>
        <v>tidak</v>
      </c>
      <c r="Y96" s="9">
        <f t="shared" si="29"/>
        <v>0.22171067916265497</v>
      </c>
      <c r="Z96" s="9">
        <f t="shared" si="30"/>
        <v>0.22171067916265497</v>
      </c>
      <c r="AA96" s="9" t="str">
        <f t="shared" si="31"/>
        <v>tidak</v>
      </c>
      <c r="AB96" s="9">
        <f t="shared" si="32"/>
        <v>-0.20601829049288331</v>
      </c>
      <c r="AC96" s="9">
        <f t="shared" si="33"/>
        <v>0.20601829049288331</v>
      </c>
      <c r="AD96" s="9" t="str">
        <f t="shared" si="34"/>
        <v>tidak</v>
      </c>
      <c r="AE96" s="9">
        <f t="shared" si="35"/>
        <v>-0.37043779228888796</v>
      </c>
      <c r="AF96" s="9">
        <f t="shared" si="36"/>
        <v>0.37043779228888796</v>
      </c>
      <c r="AG96" s="9" t="str">
        <f t="shared" si="37"/>
        <v>tidak</v>
      </c>
      <c r="AH96" s="9">
        <f t="shared" si="38"/>
        <v>0.7083547932052382</v>
      </c>
      <c r="AI96" s="9">
        <f t="shared" si="39"/>
        <v>0.7083547932052382</v>
      </c>
      <c r="AJ96" s="9" t="str">
        <f t="shared" si="40"/>
        <v>tidak</v>
      </c>
      <c r="AK96" s="9">
        <f t="shared" si="41"/>
        <v>-0.76595581575461114</v>
      </c>
      <c r="AL96" s="9">
        <f t="shared" si="42"/>
        <v>0.76595581575461114</v>
      </c>
      <c r="AM96" s="9" t="str">
        <f t="shared" si="43"/>
        <v>tidak</v>
      </c>
      <c r="AO96" s="9">
        <f t="shared" si="44"/>
        <v>7.7683503277966429E-2</v>
      </c>
      <c r="AP96" s="9">
        <f t="shared" si="45"/>
        <v>7.7683503277966429E-2</v>
      </c>
      <c r="AQ96" s="9" t="str">
        <f t="shared" si="46"/>
        <v>tidak</v>
      </c>
    </row>
    <row r="97" spans="1:43" ht="15.5" customHeight="1" x14ac:dyDescent="0.35">
      <c r="A97" s="68"/>
      <c r="B97" s="25">
        <v>2020</v>
      </c>
      <c r="C97" s="34">
        <v>0.13644277243401565</v>
      </c>
      <c r="D97" s="20">
        <v>0.625</v>
      </c>
      <c r="E97" s="25">
        <v>0</v>
      </c>
      <c r="F97" s="25">
        <v>0</v>
      </c>
      <c r="G97" s="25">
        <v>0</v>
      </c>
      <c r="H97" s="45">
        <f t="shared" si="25"/>
        <v>0</v>
      </c>
      <c r="J97" s="54">
        <v>-2.3469881373454772E-2</v>
      </c>
      <c r="V97" s="24">
        <f t="shared" si="26"/>
        <v>-0.17088499253085071</v>
      </c>
      <c r="W97" s="9">
        <f t="shared" si="27"/>
        <v>0.17088499253085071</v>
      </c>
      <c r="X97" s="9" t="str">
        <f t="shared" si="28"/>
        <v>tidak</v>
      </c>
      <c r="Y97" s="9">
        <f t="shared" si="29"/>
        <v>0.44738607209707132</v>
      </c>
      <c r="Z97" s="9">
        <f t="shared" si="30"/>
        <v>0.44738607209707132</v>
      </c>
      <c r="AA97" s="9" t="str">
        <f t="shared" si="31"/>
        <v>tidak</v>
      </c>
      <c r="AB97" s="9">
        <f t="shared" si="32"/>
        <v>0.83816129929406957</v>
      </c>
      <c r="AC97" s="9">
        <f t="shared" si="33"/>
        <v>0.83816129929406957</v>
      </c>
      <c r="AD97" s="9" t="str">
        <f t="shared" si="34"/>
        <v>tidak</v>
      </c>
      <c r="AE97" s="9">
        <f t="shared" si="35"/>
        <v>-0.37043779228888796</v>
      </c>
      <c r="AF97" s="9">
        <f t="shared" si="36"/>
        <v>0.37043779228888796</v>
      </c>
      <c r="AG97" s="9" t="str">
        <f t="shared" si="37"/>
        <v>tidak</v>
      </c>
      <c r="AH97" s="9">
        <f t="shared" si="38"/>
        <v>-1.4016382078316414</v>
      </c>
      <c r="AI97" s="9">
        <f t="shared" si="39"/>
        <v>1.4016382078316414</v>
      </c>
      <c r="AJ97" s="9" t="str">
        <f t="shared" si="40"/>
        <v>tidak</v>
      </c>
      <c r="AK97" s="9">
        <f t="shared" si="41"/>
        <v>-0.76595581575461114</v>
      </c>
      <c r="AL97" s="9">
        <f t="shared" si="42"/>
        <v>0.76595581575461114</v>
      </c>
      <c r="AM97" s="9" t="str">
        <f t="shared" si="43"/>
        <v>tidak</v>
      </c>
      <c r="AO97" s="9">
        <f t="shared" si="44"/>
        <v>-5.9623398767232286E-2</v>
      </c>
      <c r="AP97" s="9">
        <f t="shared" si="45"/>
        <v>5.9623398767232286E-2</v>
      </c>
      <c r="AQ97" s="9" t="str">
        <f t="shared" si="46"/>
        <v>tidak</v>
      </c>
    </row>
    <row r="98" spans="1:43" ht="15.5" customHeight="1" x14ac:dyDescent="0.35">
      <c r="A98" s="69"/>
      <c r="B98" s="25">
        <v>2021</v>
      </c>
      <c r="C98" s="34">
        <v>4.2254427904759619E-2</v>
      </c>
      <c r="D98" s="20">
        <v>0.5</v>
      </c>
      <c r="E98" s="25">
        <v>0</v>
      </c>
      <c r="F98" s="25">
        <v>1</v>
      </c>
      <c r="G98" s="25">
        <v>0</v>
      </c>
      <c r="H98" s="45">
        <f t="shared" si="25"/>
        <v>0</v>
      </c>
      <c r="J98" s="54">
        <v>0.20528693065296469</v>
      </c>
      <c r="V98" s="24">
        <f t="shared" si="26"/>
        <v>-0.17088499253085071</v>
      </c>
      <c r="W98" s="9">
        <f t="shared" si="27"/>
        <v>0.17088499253085071</v>
      </c>
      <c r="X98" s="9" t="str">
        <f t="shared" si="28"/>
        <v>tidak</v>
      </c>
      <c r="Y98" s="9">
        <f t="shared" si="29"/>
        <v>-3.5464965780364982E-2</v>
      </c>
      <c r="Z98" s="9">
        <f t="shared" si="30"/>
        <v>3.5464965780364982E-2</v>
      </c>
      <c r="AA98" s="9" t="str">
        <f t="shared" si="31"/>
        <v>tidak</v>
      </c>
      <c r="AB98" s="9">
        <f t="shared" si="32"/>
        <v>-0.20601829049288331</v>
      </c>
      <c r="AC98" s="9">
        <f t="shared" si="33"/>
        <v>0.20601829049288331</v>
      </c>
      <c r="AD98" s="9" t="str">
        <f t="shared" si="34"/>
        <v>tidak</v>
      </c>
      <c r="AE98" s="9">
        <f t="shared" si="35"/>
        <v>-0.37043779228888796</v>
      </c>
      <c r="AF98" s="9">
        <f t="shared" si="36"/>
        <v>0.37043779228888796</v>
      </c>
      <c r="AG98" s="9" t="str">
        <f t="shared" si="37"/>
        <v>tidak</v>
      </c>
      <c r="AH98" s="9">
        <f t="shared" si="38"/>
        <v>0.7083547932052382</v>
      </c>
      <c r="AI98" s="9">
        <f t="shared" si="39"/>
        <v>0.7083547932052382</v>
      </c>
      <c r="AJ98" s="9" t="str">
        <f t="shared" si="40"/>
        <v>tidak</v>
      </c>
      <c r="AK98" s="9">
        <f t="shared" si="41"/>
        <v>-0.76595581575461114</v>
      </c>
      <c r="AL98" s="9">
        <f t="shared" si="42"/>
        <v>0.76595581575461114</v>
      </c>
      <c r="AM98" s="9" t="str">
        <f t="shared" si="43"/>
        <v>tidak</v>
      </c>
      <c r="AO98" s="9">
        <f t="shared" si="44"/>
        <v>0.51921359820348356</v>
      </c>
      <c r="AP98" s="9">
        <f t="shared" si="45"/>
        <v>0.51921359820348356</v>
      </c>
      <c r="AQ98" s="9" t="str">
        <f t="shared" si="46"/>
        <v>tidak</v>
      </c>
    </row>
    <row r="99" spans="1:43" ht="15.5" customHeight="1" x14ac:dyDescent="0.35">
      <c r="A99" s="67" t="s">
        <v>82</v>
      </c>
      <c r="B99" s="25">
        <v>2018</v>
      </c>
      <c r="C99" s="34">
        <v>-9.4122910094783518E-2</v>
      </c>
      <c r="D99" s="20">
        <v>0.5</v>
      </c>
      <c r="E99" s="25">
        <v>0</v>
      </c>
      <c r="F99" s="25">
        <v>1</v>
      </c>
      <c r="G99" s="25">
        <v>0</v>
      </c>
      <c r="H99" s="45">
        <f t="shared" si="25"/>
        <v>0</v>
      </c>
      <c r="J99" s="54">
        <v>-4.0151410810867857E-2</v>
      </c>
      <c r="V99" s="24">
        <f t="shared" si="26"/>
        <v>-0.17088499253085071</v>
      </c>
      <c r="W99" s="9">
        <f t="shared" si="27"/>
        <v>0.17088499253085071</v>
      </c>
      <c r="X99" s="9" t="str">
        <f t="shared" si="28"/>
        <v>tidak</v>
      </c>
      <c r="Y99" s="9">
        <f t="shared" si="29"/>
        <v>-0.73459541047766563</v>
      </c>
      <c r="Z99" s="9">
        <f t="shared" si="30"/>
        <v>0.73459541047766563</v>
      </c>
      <c r="AA99" s="9" t="str">
        <f t="shared" si="31"/>
        <v>tidak</v>
      </c>
      <c r="AB99" s="9">
        <f t="shared" si="32"/>
        <v>-0.20601829049288331</v>
      </c>
      <c r="AC99" s="9">
        <f t="shared" si="33"/>
        <v>0.20601829049288331</v>
      </c>
      <c r="AD99" s="9" t="str">
        <f t="shared" si="34"/>
        <v>tidak</v>
      </c>
      <c r="AE99" s="9">
        <f t="shared" si="35"/>
        <v>-0.37043779228888796</v>
      </c>
      <c r="AF99" s="9">
        <f t="shared" si="36"/>
        <v>0.37043779228888796</v>
      </c>
      <c r="AG99" s="9" t="str">
        <f t="shared" si="37"/>
        <v>tidak</v>
      </c>
      <c r="AH99" s="9">
        <f t="shared" si="38"/>
        <v>0.7083547932052382</v>
      </c>
      <c r="AI99" s="9">
        <f t="shared" si="39"/>
        <v>0.7083547932052382</v>
      </c>
      <c r="AJ99" s="9" t="str">
        <f t="shared" si="40"/>
        <v>tidak</v>
      </c>
      <c r="AK99" s="9">
        <f t="shared" si="41"/>
        <v>-0.76595581575461114</v>
      </c>
      <c r="AL99" s="9">
        <f t="shared" si="42"/>
        <v>0.76595581575461114</v>
      </c>
      <c r="AM99" s="9" t="str">
        <f t="shared" si="43"/>
        <v>tidak</v>
      </c>
      <c r="AO99" s="9">
        <f t="shared" si="44"/>
        <v>-0.10183366703813132</v>
      </c>
      <c r="AP99" s="9">
        <f t="shared" si="45"/>
        <v>0.10183366703813132</v>
      </c>
      <c r="AQ99" s="9" t="str">
        <f t="shared" si="46"/>
        <v>tidak</v>
      </c>
    </row>
    <row r="100" spans="1:43" ht="15.5" customHeight="1" x14ac:dyDescent="0.35">
      <c r="A100" s="68"/>
      <c r="B100" s="25">
        <v>2019</v>
      </c>
      <c r="C100" s="34">
        <v>0.13013691012719683</v>
      </c>
      <c r="D100" s="20">
        <v>0.5</v>
      </c>
      <c r="E100" s="25">
        <v>1</v>
      </c>
      <c r="F100" s="25">
        <v>1</v>
      </c>
      <c r="G100" s="25">
        <v>0</v>
      </c>
      <c r="H100" s="45">
        <f t="shared" si="25"/>
        <v>0</v>
      </c>
      <c r="J100" s="54">
        <v>0.303715396826015</v>
      </c>
      <c r="V100" s="24">
        <f t="shared" si="26"/>
        <v>-0.17088499253085071</v>
      </c>
      <c r="W100" s="9">
        <f t="shared" si="27"/>
        <v>0.17088499253085071</v>
      </c>
      <c r="X100" s="9" t="str">
        <f t="shared" si="28"/>
        <v>tidak</v>
      </c>
      <c r="Y100" s="9">
        <f t="shared" si="29"/>
        <v>0.41505943789644661</v>
      </c>
      <c r="Z100" s="9">
        <f t="shared" si="30"/>
        <v>0.41505943789644661</v>
      </c>
      <c r="AA100" s="9" t="str">
        <f t="shared" si="31"/>
        <v>tidak</v>
      </c>
      <c r="AB100" s="9">
        <f t="shared" si="32"/>
        <v>-0.20601829049288331</v>
      </c>
      <c r="AC100" s="9">
        <f t="shared" si="33"/>
        <v>0.20601829049288331</v>
      </c>
      <c r="AD100" s="9" t="str">
        <f t="shared" si="34"/>
        <v>tidak</v>
      </c>
      <c r="AE100" s="9">
        <f t="shared" si="35"/>
        <v>2.6802263795019541</v>
      </c>
      <c r="AF100" s="9">
        <f t="shared" si="36"/>
        <v>2.6802263795019541</v>
      </c>
      <c r="AG100" s="9" t="str">
        <f t="shared" si="37"/>
        <v>tidak</v>
      </c>
      <c r="AH100" s="9">
        <f t="shared" si="38"/>
        <v>0.7083547932052382</v>
      </c>
      <c r="AI100" s="9">
        <f t="shared" si="39"/>
        <v>0.7083547932052382</v>
      </c>
      <c r="AJ100" s="9" t="str">
        <f t="shared" si="40"/>
        <v>tidak</v>
      </c>
      <c r="AK100" s="9">
        <f t="shared" si="41"/>
        <v>-0.76595581575461114</v>
      </c>
      <c r="AL100" s="9">
        <f t="shared" si="42"/>
        <v>0.76595581575461114</v>
      </c>
      <c r="AM100" s="9" t="str">
        <f t="shared" si="43"/>
        <v>tidak</v>
      </c>
      <c r="AO100" s="9">
        <f t="shared" si="44"/>
        <v>0.76827301318371199</v>
      </c>
      <c r="AP100" s="9">
        <f t="shared" si="45"/>
        <v>0.76827301318371199</v>
      </c>
      <c r="AQ100" s="9" t="str">
        <f t="shared" si="46"/>
        <v>tidak</v>
      </c>
    </row>
    <row r="101" spans="1:43" ht="15.5" customHeight="1" x14ac:dyDescent="0.35">
      <c r="A101" s="68"/>
      <c r="B101" s="25">
        <v>2020</v>
      </c>
      <c r="C101" s="34">
        <v>5.8080632526956721E-2</v>
      </c>
      <c r="D101" s="20">
        <v>0.5</v>
      </c>
      <c r="E101" s="25">
        <v>0</v>
      </c>
      <c r="F101" s="25">
        <v>1</v>
      </c>
      <c r="G101" s="25">
        <v>0</v>
      </c>
      <c r="H101" s="45">
        <f t="shared" si="25"/>
        <v>0</v>
      </c>
      <c r="J101" s="54">
        <v>-0.61679996399598047</v>
      </c>
      <c r="V101" s="24">
        <f t="shared" si="26"/>
        <v>-0.17088499253085071</v>
      </c>
      <c r="W101" s="9">
        <f t="shared" si="27"/>
        <v>0.17088499253085071</v>
      </c>
      <c r="X101" s="9" t="str">
        <f t="shared" si="28"/>
        <v>tidak</v>
      </c>
      <c r="Y101" s="9">
        <f t="shared" si="29"/>
        <v>4.5667146326297509E-2</v>
      </c>
      <c r="Z101" s="9">
        <f t="shared" si="30"/>
        <v>4.5667146326297509E-2</v>
      </c>
      <c r="AA101" s="9" t="str">
        <f t="shared" si="31"/>
        <v>tidak</v>
      </c>
      <c r="AB101" s="9">
        <f t="shared" si="32"/>
        <v>-0.20601829049288331</v>
      </c>
      <c r="AC101" s="9">
        <f t="shared" si="33"/>
        <v>0.20601829049288331</v>
      </c>
      <c r="AD101" s="9" t="str">
        <f t="shared" si="34"/>
        <v>tidak</v>
      </c>
      <c r="AE101" s="9">
        <f t="shared" si="35"/>
        <v>-0.37043779228888796</v>
      </c>
      <c r="AF101" s="9">
        <f t="shared" si="36"/>
        <v>0.37043779228888796</v>
      </c>
      <c r="AG101" s="9" t="str">
        <f t="shared" si="37"/>
        <v>tidak</v>
      </c>
      <c r="AH101" s="9">
        <f t="shared" si="38"/>
        <v>0.7083547932052382</v>
      </c>
      <c r="AI101" s="9">
        <f t="shared" si="39"/>
        <v>0.7083547932052382</v>
      </c>
      <c r="AJ101" s="9" t="str">
        <f t="shared" si="40"/>
        <v>tidak</v>
      </c>
      <c r="AK101" s="9">
        <f t="shared" si="41"/>
        <v>-0.76595581575461114</v>
      </c>
      <c r="AL101" s="9">
        <f t="shared" si="42"/>
        <v>0.76595581575461114</v>
      </c>
      <c r="AM101" s="9" t="str">
        <f t="shared" si="43"/>
        <v>tidak</v>
      </c>
      <c r="AO101" s="9">
        <f t="shared" si="44"/>
        <v>-1.5609618734350157</v>
      </c>
      <c r="AP101" s="9">
        <f t="shared" si="45"/>
        <v>1.5609618734350157</v>
      </c>
      <c r="AQ101" s="9" t="str">
        <f t="shared" si="46"/>
        <v>tidak</v>
      </c>
    </row>
    <row r="102" spans="1:43" ht="15.5" customHeight="1" x14ac:dyDescent="0.35">
      <c r="A102" s="69"/>
      <c r="B102" s="25">
        <v>2021</v>
      </c>
      <c r="C102" s="34">
        <v>1.0913355946103624</v>
      </c>
      <c r="D102" s="20">
        <v>0.75</v>
      </c>
      <c r="E102" s="25">
        <v>1</v>
      </c>
      <c r="F102" s="25">
        <v>1</v>
      </c>
      <c r="G102" s="25">
        <v>0</v>
      </c>
      <c r="H102" s="45">
        <f t="shared" si="25"/>
        <v>0</v>
      </c>
      <c r="J102" s="54">
        <v>-2.64852748114488E-2</v>
      </c>
      <c r="V102" s="24">
        <f t="shared" si="26"/>
        <v>-0.17088499253085071</v>
      </c>
      <c r="W102" s="9">
        <f t="shared" si="27"/>
        <v>0.17088499253085071</v>
      </c>
      <c r="X102" s="9" t="str">
        <f t="shared" si="28"/>
        <v>tidak</v>
      </c>
      <c r="Y102" s="9">
        <f t="shared" si="29"/>
        <v>5.3425882603715351</v>
      </c>
      <c r="Z102" s="9">
        <f t="shared" si="30"/>
        <v>5.3425882603715351</v>
      </c>
      <c r="AA102" s="9" t="str">
        <f t="shared" si="31"/>
        <v>outlier</v>
      </c>
      <c r="AB102" s="9">
        <f t="shared" si="32"/>
        <v>1.8823408890810225</v>
      </c>
      <c r="AC102" s="9">
        <f t="shared" si="33"/>
        <v>1.8823408890810225</v>
      </c>
      <c r="AD102" s="9" t="str">
        <f t="shared" si="34"/>
        <v>tidak</v>
      </c>
      <c r="AE102" s="9">
        <f t="shared" si="35"/>
        <v>2.6802263795019541</v>
      </c>
      <c r="AF102" s="9">
        <f t="shared" si="36"/>
        <v>2.6802263795019541</v>
      </c>
      <c r="AG102" s="9" t="str">
        <f t="shared" si="37"/>
        <v>tidak</v>
      </c>
      <c r="AH102" s="9">
        <f t="shared" si="38"/>
        <v>0.7083547932052382</v>
      </c>
      <c r="AI102" s="9">
        <f t="shared" si="39"/>
        <v>0.7083547932052382</v>
      </c>
      <c r="AJ102" s="9" t="str">
        <f t="shared" si="40"/>
        <v>tidak</v>
      </c>
      <c r="AK102" s="9">
        <f t="shared" si="41"/>
        <v>-0.76595581575461114</v>
      </c>
      <c r="AL102" s="9">
        <f t="shared" si="42"/>
        <v>0.76595581575461114</v>
      </c>
      <c r="AM102" s="9" t="str">
        <f t="shared" si="43"/>
        <v>tidak</v>
      </c>
      <c r="AO102" s="9">
        <f t="shared" si="44"/>
        <v>-6.7253428521852593E-2</v>
      </c>
      <c r="AP102" s="9">
        <f t="shared" si="45"/>
        <v>6.7253428521852593E-2</v>
      </c>
      <c r="AQ102" s="9" t="str">
        <f t="shared" si="46"/>
        <v>tidak</v>
      </c>
    </row>
    <row r="103" spans="1:43" ht="15.5" customHeight="1" x14ac:dyDescent="0.35">
      <c r="A103" s="67" t="s">
        <v>83</v>
      </c>
      <c r="B103" s="25">
        <v>2018</v>
      </c>
      <c r="C103" s="34">
        <v>0.23398920068068049</v>
      </c>
      <c r="D103" s="20">
        <v>0.5</v>
      </c>
      <c r="E103" s="25">
        <v>0</v>
      </c>
      <c r="F103" s="25">
        <v>0</v>
      </c>
      <c r="G103" s="25">
        <v>0</v>
      </c>
      <c r="H103" s="45">
        <f t="shared" si="25"/>
        <v>0</v>
      </c>
      <c r="J103" s="54">
        <v>-0.18491868108161691</v>
      </c>
      <c r="V103" s="24">
        <f t="shared" si="26"/>
        <v>-0.17088499253085071</v>
      </c>
      <c r="W103" s="9">
        <f t="shared" si="27"/>
        <v>0.17088499253085071</v>
      </c>
      <c r="X103" s="9" t="str">
        <f t="shared" si="28"/>
        <v>tidak</v>
      </c>
      <c r="Y103" s="9">
        <f t="shared" si="29"/>
        <v>0.94745212969201109</v>
      </c>
      <c r="Z103" s="9">
        <f t="shared" si="30"/>
        <v>0.94745212969201109</v>
      </c>
      <c r="AA103" s="9" t="str">
        <f t="shared" si="31"/>
        <v>tidak</v>
      </c>
      <c r="AB103" s="9">
        <f t="shared" si="32"/>
        <v>-0.20601829049288331</v>
      </c>
      <c r="AC103" s="9">
        <f t="shared" si="33"/>
        <v>0.20601829049288331</v>
      </c>
      <c r="AD103" s="9" t="str">
        <f t="shared" si="34"/>
        <v>tidak</v>
      </c>
      <c r="AE103" s="9">
        <f t="shared" si="35"/>
        <v>-0.37043779228888796</v>
      </c>
      <c r="AF103" s="9">
        <f t="shared" si="36"/>
        <v>0.37043779228888796</v>
      </c>
      <c r="AG103" s="9" t="str">
        <f t="shared" si="37"/>
        <v>tidak</v>
      </c>
      <c r="AH103" s="9">
        <f t="shared" si="38"/>
        <v>-1.4016382078316414</v>
      </c>
      <c r="AI103" s="9">
        <f t="shared" si="39"/>
        <v>1.4016382078316414</v>
      </c>
      <c r="AJ103" s="9" t="str">
        <f t="shared" si="40"/>
        <v>tidak</v>
      </c>
      <c r="AK103" s="9">
        <f t="shared" si="41"/>
        <v>-0.76595581575461114</v>
      </c>
      <c r="AL103" s="9">
        <f t="shared" si="42"/>
        <v>0.76595581575461114</v>
      </c>
      <c r="AM103" s="9" t="str">
        <f t="shared" si="43"/>
        <v>tidak</v>
      </c>
      <c r="AO103" s="9">
        <f t="shared" si="44"/>
        <v>-0.46814692014243914</v>
      </c>
      <c r="AP103" s="9">
        <f t="shared" si="45"/>
        <v>0.46814692014243914</v>
      </c>
      <c r="AQ103" s="9" t="str">
        <f t="shared" si="46"/>
        <v>tidak</v>
      </c>
    </row>
    <row r="104" spans="1:43" ht="15.5" customHeight="1" x14ac:dyDescent="0.35">
      <c r="A104" s="68"/>
      <c r="B104" s="25">
        <v>2019</v>
      </c>
      <c r="C104" s="34">
        <v>0.36538438586322258</v>
      </c>
      <c r="D104" s="20">
        <v>0.4</v>
      </c>
      <c r="E104" s="25">
        <v>0</v>
      </c>
      <c r="F104" s="25">
        <v>1</v>
      </c>
      <c r="G104" s="25">
        <v>0</v>
      </c>
      <c r="H104" s="45">
        <f t="shared" si="25"/>
        <v>0</v>
      </c>
      <c r="J104" s="54">
        <v>-0.32717283351510967</v>
      </c>
      <c r="V104" s="24">
        <f t="shared" si="26"/>
        <v>-0.17088499253085071</v>
      </c>
      <c r="W104" s="9">
        <f t="shared" si="27"/>
        <v>0.17088499253085071</v>
      </c>
      <c r="X104" s="9" t="str">
        <f t="shared" si="28"/>
        <v>tidak</v>
      </c>
      <c r="Y104" s="9">
        <f t="shared" si="29"/>
        <v>1.6210418594465439</v>
      </c>
      <c r="Z104" s="9">
        <f t="shared" si="30"/>
        <v>1.6210418594465439</v>
      </c>
      <c r="AA104" s="9" t="str">
        <f t="shared" si="31"/>
        <v>tidak</v>
      </c>
      <c r="AB104" s="9">
        <f t="shared" si="32"/>
        <v>-1.0413619623224455</v>
      </c>
      <c r="AC104" s="9">
        <f t="shared" si="33"/>
        <v>1.0413619623224455</v>
      </c>
      <c r="AD104" s="9" t="str">
        <f t="shared" si="34"/>
        <v>tidak</v>
      </c>
      <c r="AE104" s="9">
        <f t="shared" si="35"/>
        <v>-0.37043779228888796</v>
      </c>
      <c r="AF104" s="9">
        <f t="shared" si="36"/>
        <v>0.37043779228888796</v>
      </c>
      <c r="AG104" s="9" t="str">
        <f t="shared" si="37"/>
        <v>tidak</v>
      </c>
      <c r="AH104" s="9">
        <f t="shared" si="38"/>
        <v>0.7083547932052382</v>
      </c>
      <c r="AI104" s="9">
        <f t="shared" si="39"/>
        <v>0.7083547932052382</v>
      </c>
      <c r="AJ104" s="9" t="str">
        <f t="shared" si="40"/>
        <v>tidak</v>
      </c>
      <c r="AK104" s="9">
        <f t="shared" si="41"/>
        <v>-0.76595581575461114</v>
      </c>
      <c r="AL104" s="9">
        <f t="shared" si="42"/>
        <v>0.76595581575461114</v>
      </c>
      <c r="AM104" s="9" t="str">
        <f t="shared" si="43"/>
        <v>tidak</v>
      </c>
      <c r="AO104" s="9">
        <f t="shared" si="44"/>
        <v>-0.82810108138379968</v>
      </c>
      <c r="AP104" s="9">
        <f t="shared" si="45"/>
        <v>0.82810108138379968</v>
      </c>
      <c r="AQ104" s="9" t="str">
        <f t="shared" si="46"/>
        <v>tidak</v>
      </c>
    </row>
    <row r="105" spans="1:43" ht="15.5" customHeight="1" x14ac:dyDescent="0.35">
      <c r="A105" s="68"/>
      <c r="B105" s="25">
        <v>2020</v>
      </c>
      <c r="C105" s="34">
        <v>0.60338220240121054</v>
      </c>
      <c r="D105" s="20">
        <v>0.66666666666666663</v>
      </c>
      <c r="E105" s="25">
        <v>0</v>
      </c>
      <c r="F105" s="25">
        <v>1</v>
      </c>
      <c r="G105" s="25">
        <v>0</v>
      </c>
      <c r="H105" s="45">
        <f t="shared" si="25"/>
        <v>0</v>
      </c>
      <c r="J105" s="54">
        <v>-0.24545456836034071</v>
      </c>
      <c r="V105" s="24">
        <f t="shared" si="26"/>
        <v>-0.17088499253085071</v>
      </c>
      <c r="W105" s="9">
        <f t="shared" si="27"/>
        <v>0.17088499253085071</v>
      </c>
      <c r="X105" s="9" t="str">
        <f t="shared" si="28"/>
        <v>tidak</v>
      </c>
      <c r="Y105" s="9">
        <f t="shared" si="29"/>
        <v>2.8411237422132207</v>
      </c>
      <c r="Z105" s="9">
        <f t="shared" si="30"/>
        <v>2.8411237422132207</v>
      </c>
      <c r="AA105" s="9" t="str">
        <f t="shared" si="31"/>
        <v>tidak</v>
      </c>
      <c r="AB105" s="9">
        <f t="shared" si="32"/>
        <v>1.1862211625563868</v>
      </c>
      <c r="AC105" s="9">
        <f t="shared" si="33"/>
        <v>1.1862211625563868</v>
      </c>
      <c r="AD105" s="9" t="str">
        <f t="shared" si="34"/>
        <v>tidak</v>
      </c>
      <c r="AE105" s="9">
        <f t="shared" si="35"/>
        <v>-0.37043779228888796</v>
      </c>
      <c r="AF105" s="9">
        <f t="shared" si="36"/>
        <v>0.37043779228888796</v>
      </c>
      <c r="AG105" s="9" t="str">
        <f t="shared" si="37"/>
        <v>tidak</v>
      </c>
      <c r="AH105" s="9">
        <f t="shared" si="38"/>
        <v>0.7083547932052382</v>
      </c>
      <c r="AI105" s="9">
        <f t="shared" si="39"/>
        <v>0.7083547932052382</v>
      </c>
      <c r="AJ105" s="9" t="str">
        <f t="shared" si="40"/>
        <v>tidak</v>
      </c>
      <c r="AK105" s="9">
        <f t="shared" si="41"/>
        <v>-0.76595581575461114</v>
      </c>
      <c r="AL105" s="9">
        <f t="shared" si="42"/>
        <v>0.76595581575461114</v>
      </c>
      <c r="AM105" s="9" t="str">
        <f t="shared" si="43"/>
        <v>tidak</v>
      </c>
      <c r="AO105" s="9">
        <f t="shared" si="44"/>
        <v>-0.62132448408456731</v>
      </c>
      <c r="AP105" s="9">
        <f t="shared" si="45"/>
        <v>0.62132448408456731</v>
      </c>
      <c r="AQ105" s="9" t="str">
        <f t="shared" si="46"/>
        <v>tidak</v>
      </c>
    </row>
    <row r="106" spans="1:43" ht="15.5" customHeight="1" x14ac:dyDescent="0.35">
      <c r="A106" s="69"/>
      <c r="B106" s="25">
        <v>2021</v>
      </c>
      <c r="C106" s="34">
        <v>0.78435791333760385</v>
      </c>
      <c r="D106" s="20">
        <v>0.66666666666666663</v>
      </c>
      <c r="E106" s="25">
        <v>0</v>
      </c>
      <c r="F106" s="25">
        <v>1</v>
      </c>
      <c r="G106" s="25">
        <v>0</v>
      </c>
      <c r="H106" s="45">
        <f t="shared" si="25"/>
        <v>0</v>
      </c>
      <c r="J106" s="54">
        <v>-0.29466853626634892</v>
      </c>
      <c r="V106" s="24">
        <f t="shared" si="26"/>
        <v>-0.17088499253085071</v>
      </c>
      <c r="W106" s="9">
        <f t="shared" si="27"/>
        <v>0.17088499253085071</v>
      </c>
      <c r="X106" s="9" t="str">
        <f t="shared" si="28"/>
        <v>tidak</v>
      </c>
      <c r="Y106" s="9">
        <f t="shared" si="29"/>
        <v>3.7688851366084881</v>
      </c>
      <c r="Z106" s="9">
        <f t="shared" si="30"/>
        <v>3.7688851366084881</v>
      </c>
      <c r="AA106" s="9" t="str">
        <f t="shared" si="31"/>
        <v>outlier</v>
      </c>
      <c r="AB106" s="9">
        <f t="shared" si="32"/>
        <v>1.1862211625563868</v>
      </c>
      <c r="AC106" s="9">
        <f t="shared" si="33"/>
        <v>1.1862211625563868</v>
      </c>
      <c r="AD106" s="9" t="str">
        <f t="shared" si="34"/>
        <v>tidak</v>
      </c>
      <c r="AE106" s="9">
        <f t="shared" si="35"/>
        <v>-0.37043779228888796</v>
      </c>
      <c r="AF106" s="9">
        <f t="shared" si="36"/>
        <v>0.37043779228888796</v>
      </c>
      <c r="AG106" s="9" t="str">
        <f t="shared" si="37"/>
        <v>tidak</v>
      </c>
      <c r="AH106" s="9">
        <f t="shared" si="38"/>
        <v>0.7083547932052382</v>
      </c>
      <c r="AI106" s="9">
        <f t="shared" si="39"/>
        <v>0.7083547932052382</v>
      </c>
      <c r="AJ106" s="9" t="str">
        <f t="shared" si="40"/>
        <v>tidak</v>
      </c>
      <c r="AK106" s="9">
        <f t="shared" si="41"/>
        <v>-0.76595581575461114</v>
      </c>
      <c r="AL106" s="9">
        <f t="shared" si="42"/>
        <v>0.76595581575461114</v>
      </c>
      <c r="AM106" s="9" t="str">
        <f t="shared" si="43"/>
        <v>tidak</v>
      </c>
      <c r="AO106" s="9">
        <f t="shared" si="44"/>
        <v>-0.74585352057261289</v>
      </c>
      <c r="AP106" s="9">
        <f t="shared" si="45"/>
        <v>0.74585352057261289</v>
      </c>
      <c r="AQ106" s="9" t="str">
        <f t="shared" si="46"/>
        <v>tidak</v>
      </c>
    </row>
    <row r="107" spans="1:43" ht="15.5" customHeight="1" x14ac:dyDescent="0.35">
      <c r="A107" s="67" t="s">
        <v>84</v>
      </c>
      <c r="B107" s="25">
        <v>2018</v>
      </c>
      <c r="C107" s="34">
        <v>0.21682540130521064</v>
      </c>
      <c r="D107" s="20">
        <v>0.5</v>
      </c>
      <c r="E107" s="25">
        <v>0</v>
      </c>
      <c r="F107" s="25">
        <v>1</v>
      </c>
      <c r="G107" s="25">
        <v>0</v>
      </c>
      <c r="H107" s="45">
        <f t="shared" si="25"/>
        <v>0</v>
      </c>
      <c r="J107" s="54">
        <v>-0.16574754520733309</v>
      </c>
      <c r="V107" s="24">
        <f t="shared" si="26"/>
        <v>-0.17088499253085071</v>
      </c>
      <c r="W107" s="9">
        <f t="shared" si="27"/>
        <v>0.17088499253085071</v>
      </c>
      <c r="X107" s="9" t="str">
        <f t="shared" si="28"/>
        <v>tidak</v>
      </c>
      <c r="Y107" s="9">
        <f t="shared" si="29"/>
        <v>0.859462916336727</v>
      </c>
      <c r="Z107" s="9">
        <f t="shared" si="30"/>
        <v>0.859462916336727</v>
      </c>
      <c r="AA107" s="9" t="str">
        <f t="shared" si="31"/>
        <v>tidak</v>
      </c>
      <c r="AB107" s="9">
        <f t="shared" si="32"/>
        <v>-0.20601829049288331</v>
      </c>
      <c r="AC107" s="9">
        <f t="shared" si="33"/>
        <v>0.20601829049288331</v>
      </c>
      <c r="AD107" s="9" t="str">
        <f t="shared" si="34"/>
        <v>tidak</v>
      </c>
      <c r="AE107" s="9">
        <f t="shared" si="35"/>
        <v>-0.37043779228888796</v>
      </c>
      <c r="AF107" s="9">
        <f t="shared" si="36"/>
        <v>0.37043779228888796</v>
      </c>
      <c r="AG107" s="9" t="str">
        <f t="shared" si="37"/>
        <v>tidak</v>
      </c>
      <c r="AH107" s="9">
        <f t="shared" si="38"/>
        <v>0.7083547932052382</v>
      </c>
      <c r="AI107" s="9">
        <f t="shared" si="39"/>
        <v>0.7083547932052382</v>
      </c>
      <c r="AJ107" s="9" t="str">
        <f t="shared" si="40"/>
        <v>tidak</v>
      </c>
      <c r="AK107" s="9">
        <f t="shared" si="41"/>
        <v>-0.76595581575461114</v>
      </c>
      <c r="AL107" s="9">
        <f t="shared" si="42"/>
        <v>0.76595581575461114</v>
      </c>
      <c r="AM107" s="9" t="str">
        <f t="shared" si="43"/>
        <v>tidak</v>
      </c>
      <c r="AO107" s="9">
        <f t="shared" si="44"/>
        <v>-0.41963705230643172</v>
      </c>
      <c r="AP107" s="9">
        <f t="shared" si="45"/>
        <v>0.41963705230643172</v>
      </c>
      <c r="AQ107" s="9" t="str">
        <f t="shared" si="46"/>
        <v>tidak</v>
      </c>
    </row>
    <row r="108" spans="1:43" ht="15.5" customHeight="1" x14ac:dyDescent="0.35">
      <c r="A108" s="68"/>
      <c r="B108" s="25">
        <v>2019</v>
      </c>
      <c r="C108" s="34">
        <v>0.22439612246578425</v>
      </c>
      <c r="D108" s="20">
        <v>0.5</v>
      </c>
      <c r="E108" s="25">
        <v>0</v>
      </c>
      <c r="F108" s="25">
        <v>1</v>
      </c>
      <c r="G108" s="25">
        <v>0</v>
      </c>
      <c r="H108" s="45">
        <f t="shared" si="25"/>
        <v>0</v>
      </c>
      <c r="J108" s="54">
        <v>-0.17413980728791884</v>
      </c>
      <c r="V108" s="24">
        <f t="shared" si="26"/>
        <v>-0.17088499253085071</v>
      </c>
      <c r="W108" s="9">
        <f t="shared" si="27"/>
        <v>0.17088499253085071</v>
      </c>
      <c r="X108" s="9" t="str">
        <f t="shared" si="28"/>
        <v>tidak</v>
      </c>
      <c r="Y108" s="9">
        <f t="shared" si="29"/>
        <v>0.89827377545240228</v>
      </c>
      <c r="Z108" s="9">
        <f t="shared" si="30"/>
        <v>0.89827377545240228</v>
      </c>
      <c r="AA108" s="9" t="str">
        <f t="shared" si="31"/>
        <v>tidak</v>
      </c>
      <c r="AB108" s="9">
        <f t="shared" si="32"/>
        <v>-0.20601829049288331</v>
      </c>
      <c r="AC108" s="9">
        <f t="shared" si="33"/>
        <v>0.20601829049288331</v>
      </c>
      <c r="AD108" s="9" t="str">
        <f t="shared" si="34"/>
        <v>tidak</v>
      </c>
      <c r="AE108" s="9">
        <f t="shared" si="35"/>
        <v>-0.37043779228888796</v>
      </c>
      <c r="AF108" s="9">
        <f t="shared" si="36"/>
        <v>0.37043779228888796</v>
      </c>
      <c r="AG108" s="9" t="str">
        <f t="shared" si="37"/>
        <v>tidak</v>
      </c>
      <c r="AH108" s="9">
        <f t="shared" si="38"/>
        <v>0.7083547932052382</v>
      </c>
      <c r="AI108" s="9">
        <f t="shared" si="39"/>
        <v>0.7083547932052382</v>
      </c>
      <c r="AJ108" s="9" t="str">
        <f t="shared" si="40"/>
        <v>tidak</v>
      </c>
      <c r="AK108" s="9">
        <f t="shared" si="41"/>
        <v>-0.76595581575461114</v>
      </c>
      <c r="AL108" s="9">
        <f t="shared" si="42"/>
        <v>0.76595581575461114</v>
      </c>
      <c r="AM108" s="9" t="str">
        <f t="shared" si="43"/>
        <v>tidak</v>
      </c>
      <c r="AO108" s="9">
        <f t="shared" si="44"/>
        <v>-0.44087249328624584</v>
      </c>
      <c r="AP108" s="9">
        <f t="shared" si="45"/>
        <v>0.44087249328624584</v>
      </c>
      <c r="AQ108" s="9" t="str">
        <f t="shared" si="46"/>
        <v>tidak</v>
      </c>
    </row>
    <row r="109" spans="1:43" ht="15.5" customHeight="1" x14ac:dyDescent="0.35">
      <c r="A109" s="68"/>
      <c r="B109" s="25">
        <v>2020</v>
      </c>
      <c r="C109" s="34">
        <v>8.9414651795481637E-2</v>
      </c>
      <c r="D109" s="20">
        <v>0.5</v>
      </c>
      <c r="E109" s="25">
        <v>1</v>
      </c>
      <c r="F109" s="25">
        <v>1</v>
      </c>
      <c r="G109" s="25">
        <v>0</v>
      </c>
      <c r="H109" s="45">
        <f t="shared" si="25"/>
        <v>0</v>
      </c>
      <c r="J109" s="54">
        <v>-0.14547991690115319</v>
      </c>
      <c r="V109" s="24">
        <f t="shared" si="26"/>
        <v>-0.17088499253085071</v>
      </c>
      <c r="W109" s="9">
        <f t="shared" si="27"/>
        <v>0.17088499253085071</v>
      </c>
      <c r="X109" s="9" t="str">
        <f t="shared" si="28"/>
        <v>tidak</v>
      </c>
      <c r="Y109" s="9">
        <f t="shared" si="29"/>
        <v>0.20629916295526998</v>
      </c>
      <c r="Z109" s="9">
        <f t="shared" si="30"/>
        <v>0.20629916295526998</v>
      </c>
      <c r="AA109" s="9" t="str">
        <f t="shared" si="31"/>
        <v>tidak</v>
      </c>
      <c r="AB109" s="9">
        <f t="shared" si="32"/>
        <v>-0.20601829049288331</v>
      </c>
      <c r="AC109" s="9">
        <f t="shared" si="33"/>
        <v>0.20601829049288331</v>
      </c>
      <c r="AD109" s="9" t="str">
        <f t="shared" si="34"/>
        <v>tidak</v>
      </c>
      <c r="AE109" s="9">
        <f t="shared" si="35"/>
        <v>2.6802263795019541</v>
      </c>
      <c r="AF109" s="9">
        <f t="shared" si="36"/>
        <v>2.6802263795019541</v>
      </c>
      <c r="AG109" s="9" t="str">
        <f t="shared" si="37"/>
        <v>tidak</v>
      </c>
      <c r="AH109" s="9">
        <f t="shared" si="38"/>
        <v>0.7083547932052382</v>
      </c>
      <c r="AI109" s="9">
        <f t="shared" si="39"/>
        <v>0.7083547932052382</v>
      </c>
      <c r="AJ109" s="9" t="str">
        <f t="shared" si="40"/>
        <v>tidak</v>
      </c>
      <c r="AK109" s="9">
        <f t="shared" si="41"/>
        <v>-0.76595581575461114</v>
      </c>
      <c r="AL109" s="9">
        <f t="shared" si="42"/>
        <v>0.76595581575461114</v>
      </c>
      <c r="AM109" s="9" t="str">
        <f t="shared" si="43"/>
        <v>tidak</v>
      </c>
      <c r="AO109" s="9">
        <f t="shared" si="44"/>
        <v>-0.36835266431140695</v>
      </c>
      <c r="AP109" s="9">
        <f t="shared" si="45"/>
        <v>0.36835266431140695</v>
      </c>
      <c r="AQ109" s="9" t="str">
        <f t="shared" si="46"/>
        <v>tidak</v>
      </c>
    </row>
    <row r="110" spans="1:43" ht="15.5" customHeight="1" x14ac:dyDescent="0.35">
      <c r="A110" s="69"/>
      <c r="B110" s="25">
        <v>2021</v>
      </c>
      <c r="C110" s="34">
        <v>0.2045442488668785</v>
      </c>
      <c r="D110" s="20">
        <v>0.66666666666666663</v>
      </c>
      <c r="E110" s="25">
        <v>0</v>
      </c>
      <c r="F110" s="25">
        <v>1</v>
      </c>
      <c r="G110" s="25">
        <v>0</v>
      </c>
      <c r="H110" s="45">
        <f t="shared" si="25"/>
        <v>0</v>
      </c>
      <c r="J110" s="54">
        <v>0.11512336096553857</v>
      </c>
      <c r="V110" s="24">
        <f t="shared" si="26"/>
        <v>-0.17088499253085071</v>
      </c>
      <c r="W110" s="9">
        <f t="shared" si="27"/>
        <v>0.17088499253085071</v>
      </c>
      <c r="X110" s="9" t="str">
        <f t="shared" si="28"/>
        <v>tidak</v>
      </c>
      <c r="Y110" s="9">
        <f t="shared" si="29"/>
        <v>0.79650430685253815</v>
      </c>
      <c r="Z110" s="9">
        <f t="shared" si="30"/>
        <v>0.79650430685253815</v>
      </c>
      <c r="AA110" s="9" t="str">
        <f t="shared" si="31"/>
        <v>tidak</v>
      </c>
      <c r="AB110" s="9">
        <f t="shared" si="32"/>
        <v>1.1862211625563868</v>
      </c>
      <c r="AC110" s="9">
        <f t="shared" si="33"/>
        <v>1.1862211625563868</v>
      </c>
      <c r="AD110" s="9" t="str">
        <f t="shared" si="34"/>
        <v>tidak</v>
      </c>
      <c r="AE110" s="9">
        <f t="shared" si="35"/>
        <v>-0.37043779228888796</v>
      </c>
      <c r="AF110" s="9">
        <f t="shared" si="36"/>
        <v>0.37043779228888796</v>
      </c>
      <c r="AG110" s="9" t="str">
        <f t="shared" si="37"/>
        <v>tidak</v>
      </c>
      <c r="AH110" s="9">
        <f t="shared" si="38"/>
        <v>0.7083547932052382</v>
      </c>
      <c r="AI110" s="9">
        <f t="shared" si="39"/>
        <v>0.7083547932052382</v>
      </c>
      <c r="AJ110" s="9" t="str">
        <f t="shared" si="40"/>
        <v>tidak</v>
      </c>
      <c r="AK110" s="9">
        <f t="shared" si="41"/>
        <v>-0.76595581575461114</v>
      </c>
      <c r="AL110" s="9">
        <f t="shared" si="42"/>
        <v>0.76595581575461114</v>
      </c>
      <c r="AM110" s="9" t="str">
        <f t="shared" si="43"/>
        <v>tidak</v>
      </c>
      <c r="AO110" s="9">
        <f t="shared" si="44"/>
        <v>0.29106734344626084</v>
      </c>
      <c r="AP110" s="9">
        <f t="shared" si="45"/>
        <v>0.29106734344626084</v>
      </c>
      <c r="AQ110" s="9" t="str">
        <f t="shared" si="46"/>
        <v>tidak</v>
      </c>
    </row>
    <row r="111" spans="1:43" ht="15.5" customHeight="1" x14ac:dyDescent="0.35">
      <c r="A111" s="67" t="s">
        <v>85</v>
      </c>
      <c r="B111" s="25">
        <v>2018</v>
      </c>
      <c r="C111" s="34">
        <v>6.8952777271270249E-2</v>
      </c>
      <c r="D111" s="20">
        <v>0.5</v>
      </c>
      <c r="E111" s="25">
        <v>0</v>
      </c>
      <c r="F111" s="25">
        <v>1</v>
      </c>
      <c r="G111" s="25">
        <v>0</v>
      </c>
      <c r="H111" s="45">
        <f t="shared" si="25"/>
        <v>0</v>
      </c>
      <c r="J111" s="54">
        <v>9.3648137123114941E-3</v>
      </c>
      <c r="V111" s="24">
        <f t="shared" si="26"/>
        <v>-0.17088499253085071</v>
      </c>
      <c r="W111" s="9">
        <f t="shared" si="27"/>
        <v>0.17088499253085071</v>
      </c>
      <c r="X111" s="9" t="str">
        <f t="shared" si="28"/>
        <v>tidak</v>
      </c>
      <c r="Y111" s="9">
        <f t="shared" si="29"/>
        <v>0.10140256029904128</v>
      </c>
      <c r="Z111" s="9">
        <f t="shared" si="30"/>
        <v>0.10140256029904128</v>
      </c>
      <c r="AA111" s="9" t="str">
        <f t="shared" si="31"/>
        <v>tidak</v>
      </c>
      <c r="AB111" s="9">
        <f t="shared" si="32"/>
        <v>-0.20601829049288331</v>
      </c>
      <c r="AC111" s="9">
        <f t="shared" si="33"/>
        <v>0.20601829049288331</v>
      </c>
      <c r="AD111" s="9" t="str">
        <f t="shared" si="34"/>
        <v>tidak</v>
      </c>
      <c r="AE111" s="9">
        <f t="shared" si="35"/>
        <v>-0.37043779228888796</v>
      </c>
      <c r="AF111" s="9">
        <f t="shared" si="36"/>
        <v>0.37043779228888796</v>
      </c>
      <c r="AG111" s="9" t="str">
        <f t="shared" si="37"/>
        <v>tidak</v>
      </c>
      <c r="AH111" s="9">
        <f t="shared" si="38"/>
        <v>0.7083547932052382</v>
      </c>
      <c r="AI111" s="9">
        <f t="shared" si="39"/>
        <v>0.7083547932052382</v>
      </c>
      <c r="AJ111" s="9" t="str">
        <f t="shared" si="40"/>
        <v>tidak</v>
      </c>
      <c r="AK111" s="9">
        <f t="shared" si="41"/>
        <v>-0.76595581575461114</v>
      </c>
      <c r="AL111" s="9">
        <f t="shared" si="42"/>
        <v>0.76595581575461114</v>
      </c>
      <c r="AM111" s="9" t="str">
        <f t="shared" si="43"/>
        <v>tidak</v>
      </c>
      <c r="AO111" s="9">
        <f t="shared" si="44"/>
        <v>2.3460187384943331E-2</v>
      </c>
      <c r="AP111" s="9">
        <f t="shared" si="45"/>
        <v>2.3460187384943331E-2</v>
      </c>
      <c r="AQ111" s="9" t="str">
        <f t="shared" si="46"/>
        <v>tidak</v>
      </c>
    </row>
    <row r="112" spans="1:43" ht="15.5" customHeight="1" x14ac:dyDescent="0.35">
      <c r="A112" s="68"/>
      <c r="B112" s="25">
        <v>2019</v>
      </c>
      <c r="C112" s="34">
        <v>9.6480797645422944E-2</v>
      </c>
      <c r="D112" s="20">
        <v>0.5</v>
      </c>
      <c r="E112" s="25">
        <v>0</v>
      </c>
      <c r="F112" s="25">
        <v>1</v>
      </c>
      <c r="G112" s="25">
        <v>0</v>
      </c>
      <c r="H112" s="45">
        <f t="shared" si="25"/>
        <v>0</v>
      </c>
      <c r="J112" s="54">
        <v>-2.0168994243890473E-3</v>
      </c>
      <c r="V112" s="24">
        <f t="shared" si="26"/>
        <v>-0.17088499253085071</v>
      </c>
      <c r="W112" s="9">
        <f t="shared" si="27"/>
        <v>0.17088499253085071</v>
      </c>
      <c r="X112" s="9" t="str">
        <f t="shared" si="28"/>
        <v>tidak</v>
      </c>
      <c r="Y112" s="9">
        <f t="shared" si="29"/>
        <v>0.24252334626043173</v>
      </c>
      <c r="Z112" s="9">
        <f t="shared" si="30"/>
        <v>0.24252334626043173</v>
      </c>
      <c r="AA112" s="9" t="str">
        <f t="shared" si="31"/>
        <v>tidak</v>
      </c>
      <c r="AB112" s="9">
        <f t="shared" si="32"/>
        <v>-0.20601829049288331</v>
      </c>
      <c r="AC112" s="9">
        <f t="shared" si="33"/>
        <v>0.20601829049288331</v>
      </c>
      <c r="AD112" s="9" t="str">
        <f t="shared" si="34"/>
        <v>tidak</v>
      </c>
      <c r="AE112" s="9">
        <f t="shared" si="35"/>
        <v>-0.37043779228888796</v>
      </c>
      <c r="AF112" s="9">
        <f t="shared" si="36"/>
        <v>0.37043779228888796</v>
      </c>
      <c r="AG112" s="9" t="str">
        <f t="shared" si="37"/>
        <v>tidak</v>
      </c>
      <c r="AH112" s="9">
        <f t="shared" si="38"/>
        <v>0.7083547932052382</v>
      </c>
      <c r="AI112" s="9">
        <f t="shared" si="39"/>
        <v>0.7083547932052382</v>
      </c>
      <c r="AJ112" s="9" t="str">
        <f t="shared" si="40"/>
        <v>tidak</v>
      </c>
      <c r="AK112" s="9">
        <f t="shared" si="41"/>
        <v>-0.76595581575461114</v>
      </c>
      <c r="AL112" s="9">
        <f t="shared" si="42"/>
        <v>0.76595581575461114</v>
      </c>
      <c r="AM112" s="9" t="str">
        <f t="shared" si="43"/>
        <v>tidak</v>
      </c>
      <c r="AO112" s="9">
        <f t="shared" si="44"/>
        <v>-5.3396397942753219E-3</v>
      </c>
      <c r="AP112" s="9">
        <f t="shared" si="45"/>
        <v>5.3396397942753219E-3</v>
      </c>
      <c r="AQ112" s="9" t="str">
        <f t="shared" si="46"/>
        <v>tidak</v>
      </c>
    </row>
    <row r="113" spans="1:43" ht="15.5" customHeight="1" x14ac:dyDescent="0.35">
      <c r="A113" s="68"/>
      <c r="B113" s="25">
        <v>2020</v>
      </c>
      <c r="C113" s="34">
        <v>8.4269643730888882E-2</v>
      </c>
      <c r="D113" s="20">
        <v>0.5</v>
      </c>
      <c r="E113" s="25">
        <v>0</v>
      </c>
      <c r="F113" s="25">
        <v>1</v>
      </c>
      <c r="G113" s="25">
        <v>0</v>
      </c>
      <c r="H113" s="45">
        <f t="shared" si="25"/>
        <v>0</v>
      </c>
      <c r="J113" s="54">
        <v>-0.16771853114999344</v>
      </c>
      <c r="V113" s="24">
        <f t="shared" si="26"/>
        <v>-0.17088499253085071</v>
      </c>
      <c r="W113" s="9">
        <f t="shared" si="27"/>
        <v>0.17088499253085071</v>
      </c>
      <c r="X113" s="9" t="str">
        <f t="shared" si="28"/>
        <v>tidak</v>
      </c>
      <c r="Y113" s="9">
        <f t="shared" si="29"/>
        <v>0.17992358011333195</v>
      </c>
      <c r="Z113" s="9">
        <f t="shared" si="30"/>
        <v>0.17992358011333195</v>
      </c>
      <c r="AA113" s="9" t="str">
        <f t="shared" si="31"/>
        <v>tidak</v>
      </c>
      <c r="AB113" s="9">
        <f t="shared" si="32"/>
        <v>-0.20601829049288331</v>
      </c>
      <c r="AC113" s="9">
        <f t="shared" si="33"/>
        <v>0.20601829049288331</v>
      </c>
      <c r="AD113" s="9" t="str">
        <f t="shared" si="34"/>
        <v>tidak</v>
      </c>
      <c r="AE113" s="9">
        <f t="shared" si="35"/>
        <v>-0.37043779228888796</v>
      </c>
      <c r="AF113" s="9">
        <f t="shared" si="36"/>
        <v>0.37043779228888796</v>
      </c>
      <c r="AG113" s="9" t="str">
        <f t="shared" si="37"/>
        <v>tidak</v>
      </c>
      <c r="AH113" s="9">
        <f t="shared" si="38"/>
        <v>0.7083547932052382</v>
      </c>
      <c r="AI113" s="9">
        <f t="shared" si="39"/>
        <v>0.7083547932052382</v>
      </c>
      <c r="AJ113" s="9" t="str">
        <f t="shared" si="40"/>
        <v>tidak</v>
      </c>
      <c r="AK113" s="9">
        <f t="shared" si="41"/>
        <v>-0.76595581575461114</v>
      </c>
      <c r="AL113" s="9">
        <f t="shared" si="42"/>
        <v>0.76595581575461114</v>
      </c>
      <c r="AM113" s="9" t="str">
        <f t="shared" si="43"/>
        <v>tidak</v>
      </c>
      <c r="AO113" s="9">
        <f t="shared" si="44"/>
        <v>-0.42462435552164374</v>
      </c>
      <c r="AP113" s="9">
        <f t="shared" si="45"/>
        <v>0.42462435552164374</v>
      </c>
      <c r="AQ113" s="9" t="str">
        <f t="shared" si="46"/>
        <v>tidak</v>
      </c>
    </row>
    <row r="114" spans="1:43" ht="15.5" customHeight="1" x14ac:dyDescent="0.35">
      <c r="A114" s="69"/>
      <c r="B114" s="25">
        <v>2021</v>
      </c>
      <c r="C114" s="34">
        <v>0.20728293294293737</v>
      </c>
      <c r="D114" s="20">
        <v>0.5</v>
      </c>
      <c r="E114" s="25">
        <v>1</v>
      </c>
      <c r="F114" s="25">
        <v>1</v>
      </c>
      <c r="G114" s="25">
        <v>0</v>
      </c>
      <c r="H114" s="45">
        <f t="shared" si="25"/>
        <v>0</v>
      </c>
      <c r="J114" s="54">
        <v>0.15649696631146029</v>
      </c>
      <c r="V114" s="24">
        <f t="shared" si="26"/>
        <v>-0.17088499253085071</v>
      </c>
      <c r="W114" s="9">
        <f t="shared" si="27"/>
        <v>0.17088499253085071</v>
      </c>
      <c r="X114" s="9" t="str">
        <f t="shared" si="28"/>
        <v>tidak</v>
      </c>
      <c r="Y114" s="9">
        <f t="shared" si="29"/>
        <v>0.81054401054573444</v>
      </c>
      <c r="Z114" s="9">
        <f t="shared" si="30"/>
        <v>0.81054401054573444</v>
      </c>
      <c r="AA114" s="9" t="str">
        <f t="shared" si="31"/>
        <v>tidak</v>
      </c>
      <c r="AB114" s="9">
        <f t="shared" si="32"/>
        <v>-0.20601829049288331</v>
      </c>
      <c r="AC114" s="9">
        <f t="shared" si="33"/>
        <v>0.20601829049288331</v>
      </c>
      <c r="AD114" s="9" t="str">
        <f t="shared" si="34"/>
        <v>tidak</v>
      </c>
      <c r="AE114" s="9">
        <f t="shared" si="35"/>
        <v>2.6802263795019541</v>
      </c>
      <c r="AF114" s="9">
        <f t="shared" si="36"/>
        <v>2.6802263795019541</v>
      </c>
      <c r="AG114" s="9" t="str">
        <f t="shared" si="37"/>
        <v>tidak</v>
      </c>
      <c r="AH114" s="9">
        <f t="shared" si="38"/>
        <v>0.7083547932052382</v>
      </c>
      <c r="AI114" s="9">
        <f t="shared" si="39"/>
        <v>0.7083547932052382</v>
      </c>
      <c r="AJ114" s="9" t="str">
        <f t="shared" si="40"/>
        <v>tidak</v>
      </c>
      <c r="AK114" s="9">
        <f t="shared" si="41"/>
        <v>-0.76595581575461114</v>
      </c>
      <c r="AL114" s="9">
        <f t="shared" si="42"/>
        <v>0.76595581575461114</v>
      </c>
      <c r="AM114" s="9" t="str">
        <f t="shared" si="43"/>
        <v>tidak</v>
      </c>
      <c r="AO114" s="9">
        <f t="shared" si="44"/>
        <v>0.39575744320826933</v>
      </c>
      <c r="AP114" s="9">
        <f t="shared" si="45"/>
        <v>0.39575744320826933</v>
      </c>
      <c r="AQ114" s="9" t="str">
        <f t="shared" si="46"/>
        <v>tidak</v>
      </c>
    </row>
    <row r="115" spans="1:43" ht="15.5" customHeight="1" x14ac:dyDescent="0.35">
      <c r="A115" s="67" t="s">
        <v>86</v>
      </c>
      <c r="B115" s="25">
        <v>2018</v>
      </c>
      <c r="C115" s="34">
        <v>4.0286404937595749E-2</v>
      </c>
      <c r="D115" s="20">
        <v>0.66666666666666663</v>
      </c>
      <c r="E115" s="25">
        <v>0</v>
      </c>
      <c r="F115" s="25">
        <v>0</v>
      </c>
      <c r="G115" s="25">
        <v>0</v>
      </c>
      <c r="H115" s="45">
        <f t="shared" si="25"/>
        <v>0</v>
      </c>
      <c r="J115" s="54">
        <v>-3.4700160554127592E-2</v>
      </c>
      <c r="V115" s="24">
        <f t="shared" si="26"/>
        <v>-0.17088499253085071</v>
      </c>
      <c r="W115" s="9">
        <f t="shared" si="27"/>
        <v>0.17088499253085071</v>
      </c>
      <c r="X115" s="9" t="str">
        <f t="shared" si="28"/>
        <v>tidak</v>
      </c>
      <c r="Y115" s="9">
        <f t="shared" si="29"/>
        <v>-4.5553920385215725E-2</v>
      </c>
      <c r="Z115" s="9">
        <f t="shared" si="30"/>
        <v>4.5553920385215725E-2</v>
      </c>
      <c r="AA115" s="9" t="str">
        <f t="shared" si="31"/>
        <v>tidak</v>
      </c>
      <c r="AB115" s="9">
        <f t="shared" si="32"/>
        <v>1.1862211625563868</v>
      </c>
      <c r="AC115" s="9">
        <f t="shared" si="33"/>
        <v>1.1862211625563868</v>
      </c>
      <c r="AD115" s="9" t="str">
        <f t="shared" si="34"/>
        <v>tidak</v>
      </c>
      <c r="AE115" s="9">
        <f t="shared" si="35"/>
        <v>-0.37043779228888796</v>
      </c>
      <c r="AF115" s="9">
        <f t="shared" si="36"/>
        <v>0.37043779228888796</v>
      </c>
      <c r="AG115" s="9" t="str">
        <f t="shared" si="37"/>
        <v>tidak</v>
      </c>
      <c r="AH115" s="9">
        <f t="shared" si="38"/>
        <v>-1.4016382078316414</v>
      </c>
      <c r="AI115" s="9">
        <f t="shared" si="39"/>
        <v>1.4016382078316414</v>
      </c>
      <c r="AJ115" s="9" t="str">
        <f t="shared" si="40"/>
        <v>tidak</v>
      </c>
      <c r="AK115" s="9">
        <f t="shared" si="41"/>
        <v>-0.76595581575461114</v>
      </c>
      <c r="AL115" s="9">
        <f t="shared" si="42"/>
        <v>0.76595581575461114</v>
      </c>
      <c r="AM115" s="9" t="str">
        <f t="shared" si="43"/>
        <v>tidak</v>
      </c>
      <c r="AO115" s="9">
        <f t="shared" si="44"/>
        <v>-8.8040043580994834E-2</v>
      </c>
      <c r="AP115" s="9">
        <f t="shared" si="45"/>
        <v>8.8040043580994834E-2</v>
      </c>
      <c r="AQ115" s="9" t="str">
        <f t="shared" si="46"/>
        <v>tidak</v>
      </c>
    </row>
    <row r="116" spans="1:43" ht="15.5" customHeight="1" x14ac:dyDescent="0.35">
      <c r="A116" s="68"/>
      <c r="B116" s="25">
        <v>2019</v>
      </c>
      <c r="C116" s="34">
        <v>4.2533728454683006E-2</v>
      </c>
      <c r="D116" s="20">
        <v>0.66666666666666663</v>
      </c>
      <c r="E116" s="25">
        <v>1</v>
      </c>
      <c r="F116" s="25">
        <v>0</v>
      </c>
      <c r="G116" s="25">
        <v>0</v>
      </c>
      <c r="H116" s="45">
        <f t="shared" si="25"/>
        <v>0</v>
      </c>
      <c r="J116" s="54">
        <v>-0.17288308531618823</v>
      </c>
      <c r="V116" s="24">
        <f t="shared" si="26"/>
        <v>-0.17088499253085071</v>
      </c>
      <c r="W116" s="9">
        <f t="shared" si="27"/>
        <v>0.17088499253085071</v>
      </c>
      <c r="X116" s="9" t="str">
        <f t="shared" si="28"/>
        <v>tidak</v>
      </c>
      <c r="Y116" s="9">
        <f t="shared" si="29"/>
        <v>-3.4033147851254261E-2</v>
      </c>
      <c r="Z116" s="9">
        <f t="shared" si="30"/>
        <v>3.4033147851254261E-2</v>
      </c>
      <c r="AA116" s="9" t="str">
        <f t="shared" si="31"/>
        <v>tidak</v>
      </c>
      <c r="AB116" s="9">
        <f t="shared" si="32"/>
        <v>1.1862211625563868</v>
      </c>
      <c r="AC116" s="9">
        <f t="shared" si="33"/>
        <v>1.1862211625563868</v>
      </c>
      <c r="AD116" s="9" t="str">
        <f t="shared" si="34"/>
        <v>tidak</v>
      </c>
      <c r="AE116" s="9">
        <f t="shared" si="35"/>
        <v>2.6802263795019541</v>
      </c>
      <c r="AF116" s="9">
        <f t="shared" si="36"/>
        <v>2.6802263795019541</v>
      </c>
      <c r="AG116" s="9" t="str">
        <f t="shared" si="37"/>
        <v>tidak</v>
      </c>
      <c r="AH116" s="9">
        <f t="shared" si="38"/>
        <v>-1.4016382078316414</v>
      </c>
      <c r="AI116" s="9">
        <f t="shared" si="39"/>
        <v>1.4016382078316414</v>
      </c>
      <c r="AJ116" s="9" t="str">
        <f t="shared" si="40"/>
        <v>tidak</v>
      </c>
      <c r="AK116" s="9">
        <f t="shared" si="41"/>
        <v>-0.76595581575461114</v>
      </c>
      <c r="AL116" s="9">
        <f t="shared" si="42"/>
        <v>0.76595581575461114</v>
      </c>
      <c r="AM116" s="9" t="str">
        <f t="shared" si="43"/>
        <v>tidak</v>
      </c>
      <c r="AO116" s="9">
        <f t="shared" si="44"/>
        <v>-0.43769253477178793</v>
      </c>
      <c r="AP116" s="9">
        <f t="shared" si="45"/>
        <v>0.43769253477178793</v>
      </c>
      <c r="AQ116" s="9" t="str">
        <f t="shared" ref="AQ116:AQ126" si="47">IF(AP116&gt;3,"outlier","tidak")</f>
        <v>tidak</v>
      </c>
    </row>
    <row r="117" spans="1:43" ht="15.5" customHeight="1" x14ac:dyDescent="0.35">
      <c r="A117" s="68"/>
      <c r="B117" s="25">
        <v>2020</v>
      </c>
      <c r="C117" s="34">
        <v>3.9263893436195492E-3</v>
      </c>
      <c r="D117" s="20">
        <v>0.66666666666666663</v>
      </c>
      <c r="E117" s="25">
        <v>0</v>
      </c>
      <c r="F117" s="25">
        <v>0</v>
      </c>
      <c r="G117" s="25">
        <v>0</v>
      </c>
      <c r="H117" s="45">
        <f t="shared" si="25"/>
        <v>0</v>
      </c>
      <c r="J117" s="54">
        <v>-3.9073688540409983E-2</v>
      </c>
      <c r="V117" s="24">
        <f t="shared" si="26"/>
        <v>-0.17088499253085071</v>
      </c>
      <c r="W117" s="9">
        <f t="shared" si="27"/>
        <v>0.17088499253085071</v>
      </c>
      <c r="X117" s="9" t="str">
        <f t="shared" si="28"/>
        <v>tidak</v>
      </c>
      <c r="Y117" s="9">
        <f t="shared" si="29"/>
        <v>-0.23195141313802575</v>
      </c>
      <c r="Z117" s="9">
        <f t="shared" si="30"/>
        <v>0.23195141313802575</v>
      </c>
      <c r="AA117" s="9" t="str">
        <f t="shared" si="31"/>
        <v>tidak</v>
      </c>
      <c r="AB117" s="9">
        <f t="shared" si="32"/>
        <v>1.1862211625563868</v>
      </c>
      <c r="AC117" s="9">
        <f t="shared" si="33"/>
        <v>1.1862211625563868</v>
      </c>
      <c r="AD117" s="9" t="str">
        <f t="shared" si="34"/>
        <v>tidak</v>
      </c>
      <c r="AE117" s="9">
        <f t="shared" si="35"/>
        <v>-0.37043779228888796</v>
      </c>
      <c r="AF117" s="9">
        <f t="shared" si="36"/>
        <v>0.37043779228888796</v>
      </c>
      <c r="AG117" s="9" t="str">
        <f t="shared" si="37"/>
        <v>tidak</v>
      </c>
      <c r="AH117" s="9">
        <f t="shared" si="38"/>
        <v>-1.4016382078316414</v>
      </c>
      <c r="AI117" s="9">
        <f t="shared" si="39"/>
        <v>1.4016382078316414</v>
      </c>
      <c r="AJ117" s="9" t="str">
        <f t="shared" si="40"/>
        <v>tidak</v>
      </c>
      <c r="AK117" s="9">
        <f t="shared" si="41"/>
        <v>-0.76595581575461114</v>
      </c>
      <c r="AL117" s="9">
        <f t="shared" si="42"/>
        <v>0.76595581575461114</v>
      </c>
      <c r="AM117" s="9" t="str">
        <f t="shared" si="43"/>
        <v>tidak</v>
      </c>
      <c r="AO117" s="9">
        <f t="shared" si="44"/>
        <v>-9.910664213743349E-2</v>
      </c>
      <c r="AP117" s="9">
        <f t="shared" si="45"/>
        <v>9.910664213743349E-2</v>
      </c>
      <c r="AQ117" s="9" t="str">
        <f t="shared" si="47"/>
        <v>tidak</v>
      </c>
    </row>
    <row r="118" spans="1:43" ht="15.5" customHeight="1" x14ac:dyDescent="0.35">
      <c r="A118" s="69"/>
      <c r="B118" s="25">
        <v>2021</v>
      </c>
      <c r="C118" s="34">
        <v>0.13472971853754989</v>
      </c>
      <c r="D118" s="20">
        <v>0.66666666666666663</v>
      </c>
      <c r="E118" s="25">
        <v>0</v>
      </c>
      <c r="F118" s="25">
        <v>1</v>
      </c>
      <c r="G118" s="25">
        <v>0</v>
      </c>
      <c r="H118" s="45">
        <f t="shared" si="25"/>
        <v>0</v>
      </c>
      <c r="J118" s="54">
        <v>0.13610570692672269</v>
      </c>
      <c r="V118" s="24">
        <f t="shared" si="26"/>
        <v>-0.17088499253085071</v>
      </c>
      <c r="W118" s="9">
        <f t="shared" si="27"/>
        <v>0.17088499253085071</v>
      </c>
      <c r="X118" s="9" t="str">
        <f t="shared" si="28"/>
        <v>tidak</v>
      </c>
      <c r="Y118" s="9">
        <f t="shared" si="29"/>
        <v>0.43860420151656065</v>
      </c>
      <c r="Z118" s="9">
        <f t="shared" si="30"/>
        <v>0.43860420151656065</v>
      </c>
      <c r="AA118" s="9" t="str">
        <f t="shared" si="31"/>
        <v>tidak</v>
      </c>
      <c r="AB118" s="9">
        <f t="shared" si="32"/>
        <v>1.1862211625563868</v>
      </c>
      <c r="AC118" s="9">
        <f t="shared" si="33"/>
        <v>1.1862211625563868</v>
      </c>
      <c r="AD118" s="9" t="str">
        <f t="shared" si="34"/>
        <v>tidak</v>
      </c>
      <c r="AE118" s="9">
        <f t="shared" si="35"/>
        <v>-0.37043779228888796</v>
      </c>
      <c r="AF118" s="9">
        <f t="shared" si="36"/>
        <v>0.37043779228888796</v>
      </c>
      <c r="AG118" s="9" t="str">
        <f t="shared" si="37"/>
        <v>tidak</v>
      </c>
      <c r="AH118" s="9">
        <f t="shared" si="38"/>
        <v>0.7083547932052382</v>
      </c>
      <c r="AI118" s="9">
        <f t="shared" si="39"/>
        <v>0.7083547932052382</v>
      </c>
      <c r="AJ118" s="9" t="str">
        <f t="shared" si="40"/>
        <v>tidak</v>
      </c>
      <c r="AK118" s="9">
        <f t="shared" si="41"/>
        <v>-0.76595581575461114</v>
      </c>
      <c r="AL118" s="9">
        <f t="shared" si="42"/>
        <v>0.76595581575461114</v>
      </c>
      <c r="AM118" s="9" t="str">
        <f t="shared" si="43"/>
        <v>tidak</v>
      </c>
      <c r="AO118" s="9">
        <f t="shared" si="44"/>
        <v>0.34416022412589609</v>
      </c>
      <c r="AP118" s="9">
        <f t="shared" si="45"/>
        <v>0.34416022412589609</v>
      </c>
      <c r="AQ118" s="9" t="str">
        <f t="shared" si="47"/>
        <v>tidak</v>
      </c>
    </row>
    <row r="119" spans="1:43" ht="15.5" customHeight="1" x14ac:dyDescent="0.35">
      <c r="A119" s="67" t="s">
        <v>87</v>
      </c>
      <c r="B119" s="25">
        <v>2018</v>
      </c>
      <c r="C119" s="34">
        <v>0.42830680889181438</v>
      </c>
      <c r="D119" s="20">
        <v>0.75</v>
      </c>
      <c r="E119" s="25">
        <v>0</v>
      </c>
      <c r="F119" s="25">
        <v>1</v>
      </c>
      <c r="G119" s="25">
        <v>0</v>
      </c>
      <c r="H119" s="45">
        <f t="shared" si="25"/>
        <v>0</v>
      </c>
      <c r="J119" s="54">
        <v>-0.25475727416551808</v>
      </c>
      <c r="V119" s="24">
        <f t="shared" si="26"/>
        <v>-0.17088499253085071</v>
      </c>
      <c r="W119" s="9">
        <f t="shared" si="27"/>
        <v>0.17088499253085071</v>
      </c>
      <c r="X119" s="9" t="str">
        <f t="shared" si="28"/>
        <v>tidak</v>
      </c>
      <c r="Y119" s="9">
        <f t="shared" si="29"/>
        <v>1.9436099799179849</v>
      </c>
      <c r="Z119" s="9">
        <f t="shared" si="30"/>
        <v>1.9436099799179849</v>
      </c>
      <c r="AA119" s="9" t="str">
        <f t="shared" si="31"/>
        <v>tidak</v>
      </c>
      <c r="AB119" s="9">
        <f t="shared" si="32"/>
        <v>1.8823408890810225</v>
      </c>
      <c r="AC119" s="9">
        <f t="shared" si="33"/>
        <v>1.8823408890810225</v>
      </c>
      <c r="AD119" s="9" t="str">
        <f t="shared" si="34"/>
        <v>tidak</v>
      </c>
      <c r="AE119" s="9">
        <f t="shared" si="35"/>
        <v>-0.37043779228888796</v>
      </c>
      <c r="AF119" s="9">
        <f t="shared" si="36"/>
        <v>0.37043779228888796</v>
      </c>
      <c r="AG119" s="9" t="str">
        <f t="shared" si="37"/>
        <v>tidak</v>
      </c>
      <c r="AH119" s="9">
        <f t="shared" si="38"/>
        <v>0.7083547932052382</v>
      </c>
      <c r="AI119" s="9">
        <f t="shared" si="39"/>
        <v>0.7083547932052382</v>
      </c>
      <c r="AJ119" s="9" t="str">
        <f t="shared" si="40"/>
        <v>tidak</v>
      </c>
      <c r="AK119" s="9">
        <f t="shared" si="41"/>
        <v>-0.76595581575461114</v>
      </c>
      <c r="AL119" s="9">
        <f t="shared" si="42"/>
        <v>0.76595581575461114</v>
      </c>
      <c r="AM119" s="9" t="str">
        <f t="shared" si="43"/>
        <v>tidak</v>
      </c>
      <c r="AO119" s="9">
        <f t="shared" si="44"/>
        <v>-0.6448636750895067</v>
      </c>
      <c r="AP119" s="9">
        <f t="shared" si="45"/>
        <v>0.6448636750895067</v>
      </c>
      <c r="AQ119" s="9" t="str">
        <f t="shared" si="47"/>
        <v>tidak</v>
      </c>
    </row>
    <row r="120" spans="1:43" ht="15.5" customHeight="1" x14ac:dyDescent="0.35">
      <c r="A120" s="68"/>
      <c r="B120" s="25">
        <v>2019</v>
      </c>
      <c r="C120" s="34">
        <v>0.1610321952051175</v>
      </c>
      <c r="D120" s="20">
        <v>0.66666666666666663</v>
      </c>
      <c r="E120" s="25">
        <v>0</v>
      </c>
      <c r="F120" s="25">
        <v>1</v>
      </c>
      <c r="G120" s="25">
        <v>0</v>
      </c>
      <c r="H120" s="45">
        <f t="shared" si="25"/>
        <v>0</v>
      </c>
      <c r="J120" s="54">
        <v>0.10801819528530361</v>
      </c>
      <c r="V120" s="24">
        <f t="shared" si="26"/>
        <v>-0.17088499253085071</v>
      </c>
      <c r="W120" s="9">
        <f t="shared" si="27"/>
        <v>0.17088499253085071</v>
      </c>
      <c r="X120" s="9" t="str">
        <f t="shared" si="28"/>
        <v>tidak</v>
      </c>
      <c r="Y120" s="9">
        <f t="shared" si="29"/>
        <v>0.57344230936479068</v>
      </c>
      <c r="Z120" s="9">
        <f t="shared" si="30"/>
        <v>0.57344230936479068</v>
      </c>
      <c r="AA120" s="9" t="str">
        <f t="shared" si="31"/>
        <v>tidak</v>
      </c>
      <c r="AB120" s="9">
        <f t="shared" si="32"/>
        <v>1.1862211625563868</v>
      </c>
      <c r="AC120" s="9">
        <f t="shared" si="33"/>
        <v>1.1862211625563868</v>
      </c>
      <c r="AD120" s="9" t="str">
        <f t="shared" si="34"/>
        <v>tidak</v>
      </c>
      <c r="AE120" s="9">
        <f t="shared" si="35"/>
        <v>-0.37043779228888796</v>
      </c>
      <c r="AF120" s="9">
        <f t="shared" si="36"/>
        <v>0.37043779228888796</v>
      </c>
      <c r="AG120" s="9" t="str">
        <f t="shared" si="37"/>
        <v>tidak</v>
      </c>
      <c r="AH120" s="9">
        <f t="shared" si="38"/>
        <v>0.7083547932052382</v>
      </c>
      <c r="AI120" s="9">
        <f t="shared" si="39"/>
        <v>0.7083547932052382</v>
      </c>
      <c r="AJ120" s="9" t="str">
        <f t="shared" si="40"/>
        <v>tidak</v>
      </c>
      <c r="AK120" s="9">
        <f t="shared" si="41"/>
        <v>-0.76595581575461114</v>
      </c>
      <c r="AL120" s="9">
        <f t="shared" si="42"/>
        <v>0.76595581575461114</v>
      </c>
      <c r="AM120" s="9" t="str">
        <f t="shared" si="43"/>
        <v>tidak</v>
      </c>
      <c r="AO120" s="9">
        <f t="shared" si="44"/>
        <v>0.27308871920816991</v>
      </c>
      <c r="AP120" s="9">
        <f t="shared" si="45"/>
        <v>0.27308871920816991</v>
      </c>
      <c r="AQ120" s="9" t="str">
        <f t="shared" si="47"/>
        <v>tidak</v>
      </c>
    </row>
    <row r="121" spans="1:43" ht="15.5" customHeight="1" x14ac:dyDescent="0.35">
      <c r="A121" s="68"/>
      <c r="B121" s="25">
        <v>2020</v>
      </c>
      <c r="C121" s="34">
        <v>3.5007095043111523E-2</v>
      </c>
      <c r="D121" s="20">
        <v>0.5</v>
      </c>
      <c r="E121" s="25">
        <v>0</v>
      </c>
      <c r="F121" s="25">
        <v>1</v>
      </c>
      <c r="G121" s="25">
        <v>0</v>
      </c>
      <c r="H121" s="45">
        <f t="shared" si="25"/>
        <v>0</v>
      </c>
      <c r="J121" s="54">
        <v>-0.17244867336642056</v>
      </c>
      <c r="V121" s="24">
        <f t="shared" si="26"/>
        <v>-0.17088499253085071</v>
      </c>
      <c r="W121" s="9">
        <f t="shared" si="27"/>
        <v>0.17088499253085071</v>
      </c>
      <c r="X121" s="9" t="str">
        <f t="shared" si="28"/>
        <v>tidak</v>
      </c>
      <c r="Y121" s="9">
        <f t="shared" si="29"/>
        <v>-7.2617993700959588E-2</v>
      </c>
      <c r="Z121" s="9">
        <f t="shared" si="30"/>
        <v>7.2617993700959588E-2</v>
      </c>
      <c r="AA121" s="9" t="str">
        <f t="shared" si="31"/>
        <v>tidak</v>
      </c>
      <c r="AB121" s="9">
        <f t="shared" si="32"/>
        <v>-0.20601829049288331</v>
      </c>
      <c r="AC121" s="9">
        <f t="shared" si="33"/>
        <v>0.20601829049288331</v>
      </c>
      <c r="AD121" s="9" t="str">
        <f t="shared" si="34"/>
        <v>tidak</v>
      </c>
      <c r="AE121" s="9">
        <f t="shared" si="35"/>
        <v>-0.37043779228888796</v>
      </c>
      <c r="AF121" s="9">
        <f t="shared" si="36"/>
        <v>0.37043779228888796</v>
      </c>
      <c r="AG121" s="9" t="str">
        <f t="shared" si="37"/>
        <v>tidak</v>
      </c>
      <c r="AH121" s="9">
        <f t="shared" si="38"/>
        <v>0.7083547932052382</v>
      </c>
      <c r="AI121" s="9">
        <f t="shared" si="39"/>
        <v>0.7083547932052382</v>
      </c>
      <c r="AJ121" s="9" t="str">
        <f t="shared" si="40"/>
        <v>tidak</v>
      </c>
      <c r="AK121" s="9">
        <f t="shared" si="41"/>
        <v>-0.76595581575461114</v>
      </c>
      <c r="AL121" s="9">
        <f t="shared" si="42"/>
        <v>0.76595581575461114</v>
      </c>
      <c r="AM121" s="9" t="str">
        <f t="shared" si="43"/>
        <v>tidak</v>
      </c>
      <c r="AO121" s="9">
        <f t="shared" si="44"/>
        <v>-0.43659331632131104</v>
      </c>
      <c r="AP121" s="9">
        <f t="shared" si="45"/>
        <v>0.43659331632131104</v>
      </c>
      <c r="AQ121" s="9" t="str">
        <f t="shared" si="47"/>
        <v>tidak</v>
      </c>
    </row>
    <row r="122" spans="1:43" ht="15.5" customHeight="1" x14ac:dyDescent="0.35">
      <c r="A122" s="69"/>
      <c r="B122" s="25">
        <v>2021</v>
      </c>
      <c r="C122" s="34">
        <v>-0.39795729815257885</v>
      </c>
      <c r="D122" s="20">
        <v>0.6</v>
      </c>
      <c r="E122" s="25">
        <v>0</v>
      </c>
      <c r="F122" s="25">
        <v>1</v>
      </c>
      <c r="G122" s="25">
        <v>0</v>
      </c>
      <c r="H122" s="45">
        <f t="shared" si="25"/>
        <v>0</v>
      </c>
      <c r="J122" s="54">
        <v>0.96557176215118901</v>
      </c>
      <c r="V122" s="24">
        <f t="shared" si="26"/>
        <v>-0.17088499253085071</v>
      </c>
      <c r="W122" s="9">
        <f t="shared" si="27"/>
        <v>0.17088499253085071</v>
      </c>
      <c r="X122" s="9" t="str">
        <f t="shared" si="28"/>
        <v>tidak</v>
      </c>
      <c r="Y122" s="9">
        <f t="shared" si="29"/>
        <v>-2.292184625467991</v>
      </c>
      <c r="Z122" s="9">
        <f t="shared" si="30"/>
        <v>2.292184625467991</v>
      </c>
      <c r="AA122" s="9" t="str">
        <f t="shared" si="31"/>
        <v>tidak</v>
      </c>
      <c r="AB122" s="9">
        <f t="shared" si="32"/>
        <v>0.62932538133667881</v>
      </c>
      <c r="AC122" s="9">
        <f t="shared" si="33"/>
        <v>0.62932538133667881</v>
      </c>
      <c r="AD122" s="9" t="str">
        <f t="shared" si="34"/>
        <v>tidak</v>
      </c>
      <c r="AE122" s="9">
        <f t="shared" si="35"/>
        <v>-0.37043779228888796</v>
      </c>
      <c r="AF122" s="9">
        <f t="shared" si="36"/>
        <v>0.37043779228888796</v>
      </c>
      <c r="AG122" s="9" t="str">
        <f t="shared" si="37"/>
        <v>tidak</v>
      </c>
      <c r="AH122" s="9">
        <f t="shared" si="38"/>
        <v>0.7083547932052382</v>
      </c>
      <c r="AI122" s="9">
        <f t="shared" si="39"/>
        <v>0.7083547932052382</v>
      </c>
      <c r="AJ122" s="9" t="str">
        <f t="shared" si="40"/>
        <v>tidak</v>
      </c>
      <c r="AK122" s="9">
        <f t="shared" si="41"/>
        <v>-0.76595581575461114</v>
      </c>
      <c r="AL122" s="9">
        <f t="shared" si="42"/>
        <v>0.76595581575461114</v>
      </c>
      <c r="AM122" s="9" t="str">
        <f t="shared" si="43"/>
        <v>tidak</v>
      </c>
      <c r="AO122" s="9">
        <f t="shared" si="44"/>
        <v>2.4430076256180344</v>
      </c>
      <c r="AP122" s="9">
        <f t="shared" si="45"/>
        <v>2.4430076256180344</v>
      </c>
      <c r="AQ122" s="9" t="str">
        <f t="shared" si="47"/>
        <v>tidak</v>
      </c>
    </row>
    <row r="123" spans="1:43" ht="15.5" customHeight="1" x14ac:dyDescent="0.35">
      <c r="A123" s="67" t="s">
        <v>88</v>
      </c>
      <c r="B123" s="25">
        <v>2018</v>
      </c>
      <c r="C123" s="34">
        <v>1.1336110899333965E-2</v>
      </c>
      <c r="D123" s="20">
        <v>0.66666666666666663</v>
      </c>
      <c r="E123" s="25">
        <v>0</v>
      </c>
      <c r="F123" s="25">
        <v>1</v>
      </c>
      <c r="G123" s="25">
        <v>0</v>
      </c>
      <c r="H123" s="45">
        <f t="shared" si="25"/>
        <v>0</v>
      </c>
      <c r="J123" s="54">
        <v>6.0659014290554945E-2</v>
      </c>
      <c r="V123" s="24">
        <f t="shared" si="26"/>
        <v>-0.17088499253085071</v>
      </c>
      <c r="W123" s="9">
        <f t="shared" si="27"/>
        <v>0.17088499253085071</v>
      </c>
      <c r="X123" s="9" t="str">
        <f t="shared" si="28"/>
        <v>tidak</v>
      </c>
      <c r="Y123" s="9">
        <f t="shared" si="29"/>
        <v>-0.19396590907761399</v>
      </c>
      <c r="Z123" s="9">
        <f t="shared" si="30"/>
        <v>0.19396590907761399</v>
      </c>
      <c r="AA123" s="9" t="str">
        <f t="shared" si="31"/>
        <v>tidak</v>
      </c>
      <c r="AB123" s="9">
        <f t="shared" si="32"/>
        <v>1.1862211625563868</v>
      </c>
      <c r="AC123" s="9">
        <f t="shared" si="33"/>
        <v>1.1862211625563868</v>
      </c>
      <c r="AD123" s="9" t="str">
        <f t="shared" si="34"/>
        <v>tidak</v>
      </c>
      <c r="AE123" s="9">
        <f t="shared" si="35"/>
        <v>-0.37043779228888796</v>
      </c>
      <c r="AF123" s="9">
        <f t="shared" si="36"/>
        <v>0.37043779228888796</v>
      </c>
      <c r="AG123" s="9" t="str">
        <f t="shared" si="37"/>
        <v>tidak</v>
      </c>
      <c r="AH123" s="9">
        <f t="shared" si="38"/>
        <v>0.7083547932052382</v>
      </c>
      <c r="AI123" s="9">
        <f t="shared" si="39"/>
        <v>0.7083547932052382</v>
      </c>
      <c r="AJ123" s="9" t="str">
        <f t="shared" si="40"/>
        <v>tidak</v>
      </c>
      <c r="AK123" s="9">
        <f t="shared" si="41"/>
        <v>-0.76595581575461114</v>
      </c>
      <c r="AL123" s="9">
        <f t="shared" si="42"/>
        <v>0.76595581575461114</v>
      </c>
      <c r="AM123" s="9" t="str">
        <f t="shared" si="43"/>
        <v>tidak</v>
      </c>
      <c r="AO123" s="9">
        <f t="shared" si="44"/>
        <v>0.15325296059991075</v>
      </c>
      <c r="AP123" s="9">
        <f t="shared" si="45"/>
        <v>0.15325296059991075</v>
      </c>
      <c r="AQ123" s="9" t="str">
        <f t="shared" si="47"/>
        <v>tidak</v>
      </c>
    </row>
    <row r="124" spans="1:43" ht="15.5" customHeight="1" x14ac:dyDescent="0.35">
      <c r="A124" s="68"/>
      <c r="B124" s="25">
        <v>2019</v>
      </c>
      <c r="C124" s="34">
        <v>0.18897729214417944</v>
      </c>
      <c r="D124" s="20">
        <v>0.66666666666666663</v>
      </c>
      <c r="E124" s="25">
        <v>0</v>
      </c>
      <c r="F124" s="25">
        <v>0</v>
      </c>
      <c r="G124" s="25">
        <v>0</v>
      </c>
      <c r="H124" s="45">
        <f t="shared" si="25"/>
        <v>0</v>
      </c>
      <c r="J124" s="54">
        <v>0.18786466272777766</v>
      </c>
      <c r="V124" s="24">
        <f t="shared" si="26"/>
        <v>-0.17088499253085071</v>
      </c>
      <c r="W124" s="9">
        <f t="shared" si="27"/>
        <v>0.17088499253085071</v>
      </c>
      <c r="X124" s="9" t="str">
        <f t="shared" si="28"/>
        <v>tidak</v>
      </c>
      <c r="Y124" s="9">
        <f t="shared" si="29"/>
        <v>0.71670121393573183</v>
      </c>
      <c r="Z124" s="9">
        <f t="shared" si="30"/>
        <v>0.71670121393573183</v>
      </c>
      <c r="AA124" s="9" t="str">
        <f t="shared" si="31"/>
        <v>tidak</v>
      </c>
      <c r="AB124" s="9">
        <f t="shared" si="32"/>
        <v>1.1862211625563868</v>
      </c>
      <c r="AC124" s="9">
        <f t="shared" si="33"/>
        <v>1.1862211625563868</v>
      </c>
      <c r="AD124" s="9" t="str">
        <f t="shared" si="34"/>
        <v>tidak</v>
      </c>
      <c r="AE124" s="9">
        <f t="shared" si="35"/>
        <v>-0.37043779228888796</v>
      </c>
      <c r="AF124" s="9">
        <f t="shared" si="36"/>
        <v>0.37043779228888796</v>
      </c>
      <c r="AG124" s="9" t="str">
        <f t="shared" si="37"/>
        <v>tidak</v>
      </c>
      <c r="AH124" s="9">
        <f t="shared" si="38"/>
        <v>-1.4016382078316414</v>
      </c>
      <c r="AI124" s="9">
        <f t="shared" si="39"/>
        <v>1.4016382078316414</v>
      </c>
      <c r="AJ124" s="9" t="str">
        <f t="shared" si="40"/>
        <v>tidak</v>
      </c>
      <c r="AK124" s="9">
        <f t="shared" si="41"/>
        <v>-0.76595581575461114</v>
      </c>
      <c r="AL124" s="9">
        <f t="shared" si="42"/>
        <v>0.76595581575461114</v>
      </c>
      <c r="AM124" s="9" t="str">
        <f t="shared" si="43"/>
        <v>tidak</v>
      </c>
      <c r="AO124" s="9">
        <f t="shared" si="44"/>
        <v>0.47512899518379381</v>
      </c>
      <c r="AP124" s="9">
        <f t="shared" si="45"/>
        <v>0.47512899518379381</v>
      </c>
      <c r="AQ124" s="9" t="str">
        <f t="shared" si="47"/>
        <v>tidak</v>
      </c>
    </row>
    <row r="125" spans="1:43" ht="15.5" customHeight="1" x14ac:dyDescent="0.35">
      <c r="A125" s="68"/>
      <c r="B125" s="25">
        <v>2020</v>
      </c>
      <c r="C125" s="34">
        <v>0.22025675038285475</v>
      </c>
      <c r="D125" s="20">
        <v>0.66666666666666663</v>
      </c>
      <c r="E125" s="25">
        <v>0</v>
      </c>
      <c r="F125" s="25">
        <v>0</v>
      </c>
      <c r="G125" s="25">
        <v>0</v>
      </c>
      <c r="H125" s="45">
        <f t="shared" si="25"/>
        <v>0</v>
      </c>
      <c r="J125" s="54">
        <v>-8.9692004529139724E-2</v>
      </c>
      <c r="V125" s="24">
        <f t="shared" si="26"/>
        <v>-0.17088499253085071</v>
      </c>
      <c r="W125" s="9">
        <f t="shared" si="27"/>
        <v>0.17088499253085071</v>
      </c>
      <c r="X125" s="9" t="str">
        <f t="shared" si="28"/>
        <v>tidak</v>
      </c>
      <c r="Y125" s="9">
        <f t="shared" si="29"/>
        <v>0.87705352663719394</v>
      </c>
      <c r="Z125" s="9">
        <f t="shared" si="30"/>
        <v>0.87705352663719394</v>
      </c>
      <c r="AA125" s="9" t="str">
        <f t="shared" si="31"/>
        <v>tidak</v>
      </c>
      <c r="AB125" s="9">
        <f t="shared" si="32"/>
        <v>1.1862211625563868</v>
      </c>
      <c r="AC125" s="9">
        <f t="shared" si="33"/>
        <v>1.1862211625563868</v>
      </c>
      <c r="AD125" s="9" t="str">
        <f t="shared" si="34"/>
        <v>tidak</v>
      </c>
      <c r="AE125" s="9">
        <f t="shared" si="35"/>
        <v>-0.37043779228888796</v>
      </c>
      <c r="AF125" s="9">
        <f t="shared" si="36"/>
        <v>0.37043779228888796</v>
      </c>
      <c r="AG125" s="9" t="str">
        <f t="shared" si="37"/>
        <v>tidak</v>
      </c>
      <c r="AH125" s="9">
        <f t="shared" si="38"/>
        <v>-1.4016382078316414</v>
      </c>
      <c r="AI125" s="9">
        <f t="shared" si="39"/>
        <v>1.4016382078316414</v>
      </c>
      <c r="AJ125" s="9" t="str">
        <f t="shared" si="40"/>
        <v>tidak</v>
      </c>
      <c r="AK125" s="9">
        <f t="shared" si="41"/>
        <v>-0.76595581575461114</v>
      </c>
      <c r="AL125" s="9">
        <f t="shared" si="42"/>
        <v>0.76595581575461114</v>
      </c>
      <c r="AM125" s="9" t="str">
        <f t="shared" si="43"/>
        <v>tidak</v>
      </c>
      <c r="AO125" s="9">
        <f t="shared" si="44"/>
        <v>-0.2271891842881224</v>
      </c>
      <c r="AP125" s="9">
        <f t="shared" si="45"/>
        <v>0.2271891842881224</v>
      </c>
      <c r="AQ125" s="9" t="str">
        <f t="shared" si="47"/>
        <v>tidak</v>
      </c>
    </row>
    <row r="126" spans="1:43" ht="15.5" customHeight="1" x14ac:dyDescent="0.35">
      <c r="A126" s="69"/>
      <c r="B126" s="25">
        <v>2021</v>
      </c>
      <c r="C126" s="34">
        <v>0.17159386215090566</v>
      </c>
      <c r="D126" s="20">
        <v>0.66666666666666663</v>
      </c>
      <c r="E126" s="25">
        <v>0</v>
      </c>
      <c r="F126" s="25">
        <v>0</v>
      </c>
      <c r="G126" s="25">
        <v>0</v>
      </c>
      <c r="H126" s="45">
        <f t="shared" si="25"/>
        <v>0</v>
      </c>
      <c r="J126" s="54">
        <v>-5.3048580590567843E-2</v>
      </c>
      <c r="V126" s="24">
        <f t="shared" si="26"/>
        <v>-0.17088499253085071</v>
      </c>
      <c r="W126" s="9">
        <f t="shared" si="27"/>
        <v>0.17088499253085071</v>
      </c>
      <c r="X126" s="9" t="str">
        <f t="shared" si="28"/>
        <v>tidak</v>
      </c>
      <c r="Y126" s="9">
        <f t="shared" si="29"/>
        <v>0.62758607706744518</v>
      </c>
      <c r="Z126" s="9">
        <f t="shared" si="30"/>
        <v>0.62758607706744518</v>
      </c>
      <c r="AA126" s="9" t="str">
        <f t="shared" si="31"/>
        <v>tidak</v>
      </c>
      <c r="AB126" s="9">
        <f t="shared" si="32"/>
        <v>1.1862211625563868</v>
      </c>
      <c r="AC126" s="9">
        <f t="shared" si="33"/>
        <v>1.1862211625563868</v>
      </c>
      <c r="AD126" s="9" t="str">
        <f t="shared" si="34"/>
        <v>tidak</v>
      </c>
      <c r="AE126" s="9">
        <f t="shared" si="35"/>
        <v>-0.37043779228888796</v>
      </c>
      <c r="AF126" s="9">
        <f t="shared" si="36"/>
        <v>0.37043779228888796</v>
      </c>
      <c r="AG126" s="9" t="str">
        <f t="shared" si="37"/>
        <v>tidak</v>
      </c>
      <c r="AH126" s="9">
        <f t="shared" si="38"/>
        <v>-1.4016382078316414</v>
      </c>
      <c r="AI126" s="9">
        <f t="shared" si="39"/>
        <v>1.4016382078316414</v>
      </c>
      <c r="AJ126" s="9" t="str">
        <f t="shared" si="40"/>
        <v>tidak</v>
      </c>
      <c r="AK126" s="9">
        <f t="shared" si="41"/>
        <v>-0.76595581575461114</v>
      </c>
      <c r="AL126" s="9">
        <f t="shared" si="42"/>
        <v>0.76595581575461114</v>
      </c>
      <c r="AM126" s="9" t="str">
        <f t="shared" si="43"/>
        <v>tidak</v>
      </c>
      <c r="AO126" s="9">
        <f t="shared" si="44"/>
        <v>-0.13446814449290903</v>
      </c>
      <c r="AP126" s="9">
        <f t="shared" si="45"/>
        <v>0.13446814449290903</v>
      </c>
      <c r="AQ126" s="9" t="str">
        <f t="shared" si="47"/>
        <v>tidak</v>
      </c>
    </row>
    <row r="127" spans="1:43" ht="15.5" customHeight="1" x14ac:dyDescent="0.35">
      <c r="A127" s="67" t="s">
        <v>89</v>
      </c>
      <c r="B127" s="25">
        <v>2018</v>
      </c>
      <c r="C127" s="34">
        <v>-6.1377700760211845E-2</v>
      </c>
      <c r="D127" s="20">
        <v>0.42857142857142855</v>
      </c>
      <c r="E127" s="25">
        <v>0</v>
      </c>
      <c r="F127" s="25">
        <v>1</v>
      </c>
      <c r="G127" s="25">
        <v>0</v>
      </c>
      <c r="H127" s="45">
        <f t="shared" si="25"/>
        <v>0</v>
      </c>
      <c r="J127" s="54">
        <v>0.14875669904304797</v>
      </c>
    </row>
    <row r="128" spans="1:43" ht="15.5" customHeight="1" x14ac:dyDescent="0.35">
      <c r="A128" s="68"/>
      <c r="B128" s="25">
        <v>2019</v>
      </c>
      <c r="C128" s="34">
        <v>-1.8948835259134343E-2</v>
      </c>
      <c r="D128" s="20">
        <v>0.6</v>
      </c>
      <c r="E128" s="25">
        <v>0</v>
      </c>
      <c r="F128" s="25">
        <v>1</v>
      </c>
      <c r="G128" s="25">
        <v>0</v>
      </c>
      <c r="H128" s="45">
        <f t="shared" si="25"/>
        <v>0</v>
      </c>
      <c r="J128" s="54">
        <v>-0.1691676283324911</v>
      </c>
    </row>
    <row r="129" spans="1:10" ht="15.5" customHeight="1" x14ac:dyDescent="0.35">
      <c r="A129" s="68"/>
      <c r="B129" s="25">
        <v>2020</v>
      </c>
      <c r="C129" s="34">
        <v>0.19563355706658939</v>
      </c>
      <c r="D129" s="20">
        <v>0.6</v>
      </c>
      <c r="E129" s="25">
        <v>0</v>
      </c>
      <c r="F129" s="25">
        <v>0</v>
      </c>
      <c r="G129" s="25">
        <v>0</v>
      </c>
      <c r="H129" s="45">
        <f t="shared" si="25"/>
        <v>0</v>
      </c>
      <c r="J129" s="54">
        <v>-0.56378993956984613</v>
      </c>
    </row>
    <row r="130" spans="1:10" ht="15.5" customHeight="1" x14ac:dyDescent="0.35">
      <c r="A130" s="69"/>
      <c r="B130" s="25">
        <v>2021</v>
      </c>
      <c r="C130" s="34">
        <v>-0.14410685765846687</v>
      </c>
      <c r="D130" s="20">
        <v>0.6</v>
      </c>
      <c r="E130" s="25">
        <v>0</v>
      </c>
      <c r="F130" s="25">
        <v>1</v>
      </c>
      <c r="G130" s="25">
        <v>0</v>
      </c>
      <c r="H130" s="45">
        <f t="shared" si="25"/>
        <v>0</v>
      </c>
      <c r="J130" s="54">
        <v>0.5310851932033227</v>
      </c>
    </row>
    <row r="131" spans="1:10" ht="15.5" customHeight="1" x14ac:dyDescent="0.35">
      <c r="A131" s="67" t="s">
        <v>90</v>
      </c>
      <c r="B131" s="25">
        <v>2018</v>
      </c>
      <c r="C131" s="34">
        <v>1.7800598101923751E-2</v>
      </c>
      <c r="D131" s="20">
        <v>0.5</v>
      </c>
      <c r="E131" s="25">
        <v>0</v>
      </c>
      <c r="F131" s="25">
        <v>1</v>
      </c>
      <c r="G131" s="25">
        <v>0</v>
      </c>
      <c r="H131" s="45">
        <f t="shared" si="25"/>
        <v>0</v>
      </c>
      <c r="J131" s="54">
        <v>-0.1114154678215236</v>
      </c>
    </row>
    <row r="132" spans="1:10" ht="15.5" customHeight="1" x14ac:dyDescent="0.35">
      <c r="A132" s="68"/>
      <c r="B132" s="25">
        <v>2019</v>
      </c>
      <c r="C132" s="34">
        <v>0.20345617328422622</v>
      </c>
      <c r="D132" s="20">
        <v>0.6</v>
      </c>
      <c r="E132" s="25">
        <v>1</v>
      </c>
      <c r="F132" s="25">
        <v>1</v>
      </c>
      <c r="G132" s="25">
        <v>0</v>
      </c>
      <c r="H132" s="45">
        <f t="shared" ref="H132:H142" si="48">IF(J132&lt;1,0,1)</f>
        <v>0</v>
      </c>
      <c r="J132" s="54">
        <v>-0.16605554520209276</v>
      </c>
    </row>
    <row r="133" spans="1:10" ht="15.5" customHeight="1" x14ac:dyDescent="0.35">
      <c r="A133" s="68"/>
      <c r="B133" s="25">
        <v>2020</v>
      </c>
      <c r="C133" s="34">
        <v>0.11307925390256249</v>
      </c>
      <c r="D133" s="20">
        <v>0.6</v>
      </c>
      <c r="E133" s="25">
        <v>0</v>
      </c>
      <c r="F133" s="25">
        <v>0</v>
      </c>
      <c r="G133" s="25">
        <v>0</v>
      </c>
      <c r="H133" s="45">
        <f t="shared" si="48"/>
        <v>0</v>
      </c>
      <c r="J133" s="54">
        <v>0.1410796902038487</v>
      </c>
    </row>
    <row r="134" spans="1:10" ht="15.5" customHeight="1" x14ac:dyDescent="0.35">
      <c r="A134" s="69"/>
      <c r="B134" s="25">
        <v>2021</v>
      </c>
      <c r="C134" s="34">
        <v>0.18428028613548023</v>
      </c>
      <c r="D134" s="20">
        <v>0.6</v>
      </c>
      <c r="E134" s="25">
        <v>0</v>
      </c>
      <c r="F134" s="25">
        <v>0</v>
      </c>
      <c r="G134" s="25">
        <v>0</v>
      </c>
      <c r="H134" s="45">
        <f t="shared" si="48"/>
        <v>0</v>
      </c>
      <c r="J134" s="54">
        <v>-0.1046467303224581</v>
      </c>
    </row>
    <row r="135" spans="1:10" ht="15.5" customHeight="1" x14ac:dyDescent="0.35">
      <c r="A135" s="67" t="s">
        <v>91</v>
      </c>
      <c r="B135" s="25">
        <v>2018</v>
      </c>
      <c r="C135" s="34">
        <v>-0.1864432905669052</v>
      </c>
      <c r="D135" s="20">
        <v>0.75</v>
      </c>
      <c r="E135" s="25">
        <v>0</v>
      </c>
      <c r="F135" s="25">
        <v>1</v>
      </c>
      <c r="G135" s="25">
        <v>0</v>
      </c>
      <c r="H135" s="45">
        <f t="shared" si="48"/>
        <v>0</v>
      </c>
      <c r="J135" s="54">
        <v>0.35372747724723924</v>
      </c>
    </row>
    <row r="136" spans="1:10" ht="15.5" customHeight="1" x14ac:dyDescent="0.35">
      <c r="A136" s="68"/>
      <c r="B136" s="25">
        <v>2019</v>
      </c>
      <c r="C136" s="34">
        <v>0.23573875974528929</v>
      </c>
      <c r="D136" s="20">
        <v>0.66666666666666663</v>
      </c>
      <c r="E136" s="25">
        <v>0</v>
      </c>
      <c r="F136" s="25">
        <v>1</v>
      </c>
      <c r="G136" s="25">
        <v>0</v>
      </c>
      <c r="H136" s="45">
        <f t="shared" si="48"/>
        <v>0</v>
      </c>
      <c r="J136" s="54">
        <v>0.35770262127562469</v>
      </c>
    </row>
    <row r="137" spans="1:10" ht="15.5" customHeight="1" x14ac:dyDescent="0.35">
      <c r="A137" s="68"/>
      <c r="B137" s="25">
        <v>2020</v>
      </c>
      <c r="C137" s="34">
        <v>-0.12265565143095526</v>
      </c>
      <c r="D137" s="20">
        <v>0.66666666666666663</v>
      </c>
      <c r="E137" s="25">
        <v>0</v>
      </c>
      <c r="F137" s="25">
        <v>0</v>
      </c>
      <c r="G137" s="25">
        <v>0</v>
      </c>
      <c r="H137" s="45">
        <f t="shared" si="48"/>
        <v>0</v>
      </c>
      <c r="J137" s="54">
        <v>4.1822649492916766E-2</v>
      </c>
    </row>
    <row r="138" spans="1:10" ht="15.5" customHeight="1" x14ac:dyDescent="0.35">
      <c r="A138" s="69"/>
      <c r="B138" s="25">
        <v>2021</v>
      </c>
      <c r="C138" s="34">
        <v>-0.32003826172337896</v>
      </c>
      <c r="D138" s="20">
        <v>0.66666666666666663</v>
      </c>
      <c r="E138" s="25">
        <v>0</v>
      </c>
      <c r="F138" s="25">
        <v>0</v>
      </c>
      <c r="G138" s="25">
        <v>0</v>
      </c>
      <c r="H138" s="45">
        <f t="shared" si="48"/>
        <v>1</v>
      </c>
      <c r="J138" s="54">
        <v>1.0659503956379133</v>
      </c>
    </row>
    <row r="139" spans="1:10" ht="15.5" customHeight="1" x14ac:dyDescent="0.35">
      <c r="A139" s="67" t="s">
        <v>92</v>
      </c>
      <c r="B139" s="25">
        <v>2018</v>
      </c>
      <c r="C139" s="34">
        <v>0.12881854240116875</v>
      </c>
      <c r="D139" s="20">
        <v>0.625</v>
      </c>
      <c r="E139" s="25">
        <v>0</v>
      </c>
      <c r="F139" s="25">
        <v>1</v>
      </c>
      <c r="G139" s="25">
        <v>0</v>
      </c>
      <c r="H139" s="45">
        <f t="shared" si="48"/>
        <v>0</v>
      </c>
      <c r="J139" s="54">
        <v>-7.205724116232555E-2</v>
      </c>
    </row>
    <row r="140" spans="1:10" x14ac:dyDescent="0.35">
      <c r="A140" s="68"/>
      <c r="B140" s="25">
        <v>2019</v>
      </c>
      <c r="C140" s="34">
        <v>4.1041446169229091E-2</v>
      </c>
      <c r="D140" s="20">
        <v>0.66666666666666663</v>
      </c>
      <c r="E140" s="25">
        <v>0</v>
      </c>
      <c r="F140" s="25">
        <v>1</v>
      </c>
      <c r="G140" s="25">
        <v>0</v>
      </c>
      <c r="H140" s="45">
        <f t="shared" si="48"/>
        <v>0</v>
      </c>
      <c r="J140" s="54">
        <v>6.484730300278374E-2</v>
      </c>
    </row>
    <row r="141" spans="1:10" x14ac:dyDescent="0.35">
      <c r="A141" s="68"/>
      <c r="B141" s="25">
        <v>2020</v>
      </c>
      <c r="C141" s="34">
        <v>0.1416116411702443</v>
      </c>
      <c r="D141" s="20">
        <v>0.625</v>
      </c>
      <c r="E141" s="25">
        <v>0</v>
      </c>
      <c r="F141" s="25">
        <v>1</v>
      </c>
      <c r="G141" s="25">
        <v>0</v>
      </c>
      <c r="H141" s="45">
        <f t="shared" si="48"/>
        <v>0</v>
      </c>
      <c r="J141" s="54">
        <v>-9.3308004886707707E-3</v>
      </c>
    </row>
    <row r="142" spans="1:10" x14ac:dyDescent="0.35">
      <c r="A142" s="69"/>
      <c r="B142" s="25">
        <v>2021</v>
      </c>
      <c r="C142" s="34">
        <v>3.9256024803051133E-2</v>
      </c>
      <c r="D142" s="20">
        <v>0.625</v>
      </c>
      <c r="E142" s="25">
        <v>0</v>
      </c>
      <c r="F142" s="25">
        <v>0</v>
      </c>
      <c r="G142" s="25">
        <v>0</v>
      </c>
      <c r="H142" s="45">
        <f t="shared" si="48"/>
        <v>0</v>
      </c>
      <c r="J142" s="54">
        <v>3.9852354739116365E-2</v>
      </c>
    </row>
    <row r="143" spans="1:10" x14ac:dyDescent="0.35">
      <c r="C143" s="48">
        <f>MIN(C3:C142)</f>
        <v>-0.4730847714025726</v>
      </c>
    </row>
    <row r="145" spans="1:2" x14ac:dyDescent="0.35">
      <c r="A145" t="s">
        <v>108</v>
      </c>
    </row>
    <row r="146" spans="1:2" x14ac:dyDescent="0.35">
      <c r="A146" t="s">
        <v>109</v>
      </c>
      <c r="B146" t="s">
        <v>110</v>
      </c>
    </row>
    <row r="147" spans="1:2" x14ac:dyDescent="0.35">
      <c r="A147" t="s">
        <v>111</v>
      </c>
      <c r="B147">
        <f>144-2</f>
        <v>142</v>
      </c>
    </row>
    <row r="148" spans="1:2" x14ac:dyDescent="0.35">
      <c r="A148" t="s">
        <v>112</v>
      </c>
      <c r="B148">
        <v>6</v>
      </c>
    </row>
    <row r="149" spans="1:2" x14ac:dyDescent="0.35">
      <c r="B149" t="e">
        <f>TINV(B146,B147)</f>
        <v>#VALUE!</v>
      </c>
    </row>
  </sheetData>
  <mergeCells count="43">
    <mergeCell ref="A139:A142"/>
    <mergeCell ref="A123:A126"/>
    <mergeCell ref="A127:A130"/>
    <mergeCell ref="A131:A134"/>
    <mergeCell ref="A135:A138"/>
    <mergeCell ref="A103:A106"/>
    <mergeCell ref="A107:A110"/>
    <mergeCell ref="A111:A114"/>
    <mergeCell ref="A115:A118"/>
    <mergeCell ref="A119:A122"/>
    <mergeCell ref="A83:A86"/>
    <mergeCell ref="A87:A90"/>
    <mergeCell ref="A91:A94"/>
    <mergeCell ref="A95:A98"/>
    <mergeCell ref="A99:A102"/>
    <mergeCell ref="A75:A78"/>
    <mergeCell ref="A79:A82"/>
    <mergeCell ref="A1:A2"/>
    <mergeCell ref="B1:B2"/>
    <mergeCell ref="A51:A54"/>
    <mergeCell ref="A55:A58"/>
    <mergeCell ref="A59:A62"/>
    <mergeCell ref="A63:A66"/>
    <mergeCell ref="A67:A70"/>
    <mergeCell ref="A71:A74"/>
    <mergeCell ref="A27:A30"/>
    <mergeCell ref="A31:A34"/>
    <mergeCell ref="A35:A38"/>
    <mergeCell ref="A39:A42"/>
    <mergeCell ref="A43:A46"/>
    <mergeCell ref="A47:A50"/>
    <mergeCell ref="A23:A26"/>
    <mergeCell ref="A3:A6"/>
    <mergeCell ref="A7:A10"/>
    <mergeCell ref="A11:A14"/>
    <mergeCell ref="A15:A18"/>
    <mergeCell ref="A19:A22"/>
    <mergeCell ref="AK1:AM1"/>
    <mergeCell ref="V1:X1"/>
    <mergeCell ref="Y1:AA1"/>
    <mergeCell ref="AB1:AD1"/>
    <mergeCell ref="AE1:AG1"/>
    <mergeCell ref="AH1:AJ1"/>
  </mergeCells>
  <conditionalFormatting sqref="V3:AQ126">
    <cfRule type="containsText" dxfId="0" priority="1" operator="containsText" text="outlier">
      <formula>NOT(ISERROR(SEARCH("outlier",V3)))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D3339-1C72-4B4B-A2AE-BEB2FB634CBF}">
  <dimension ref="D1:L142"/>
  <sheetViews>
    <sheetView zoomScale="86" workbookViewId="0">
      <selection activeCell="D63" sqref="D63:L66"/>
    </sheetView>
  </sheetViews>
  <sheetFormatPr defaultRowHeight="14.5" x14ac:dyDescent="0.35"/>
  <cols>
    <col min="4" max="4" width="11.81640625" bestFit="1" customWidth="1"/>
    <col min="6" max="6" width="9.08984375" bestFit="1" customWidth="1"/>
    <col min="8" max="8" width="16.54296875" bestFit="1" customWidth="1"/>
    <col min="9" max="9" width="15.90625" bestFit="1" customWidth="1"/>
    <col min="10" max="10" width="14.90625" bestFit="1" customWidth="1"/>
  </cols>
  <sheetData>
    <row r="1" spans="4:12" x14ac:dyDescent="0.35">
      <c r="D1" s="71" t="s">
        <v>64</v>
      </c>
      <c r="E1" s="71" t="s">
        <v>65</v>
      </c>
      <c r="F1" s="1" t="s">
        <v>66</v>
      </c>
      <c r="G1" s="1" t="s">
        <v>68</v>
      </c>
      <c r="H1" s="1" t="s">
        <v>77</v>
      </c>
      <c r="I1" s="1" t="s">
        <v>70</v>
      </c>
      <c r="J1" s="1" t="s">
        <v>71</v>
      </c>
      <c r="K1" s="1" t="s">
        <v>113</v>
      </c>
    </row>
    <row r="2" spans="4:12" x14ac:dyDescent="0.35">
      <c r="D2" s="71"/>
      <c r="E2" s="71"/>
      <c r="F2" s="1" t="s">
        <v>67</v>
      </c>
      <c r="G2" s="1" t="s">
        <v>69</v>
      </c>
      <c r="H2" s="1" t="s">
        <v>73</v>
      </c>
      <c r="I2" s="1" t="s">
        <v>74</v>
      </c>
      <c r="J2" s="1" t="s">
        <v>75</v>
      </c>
      <c r="K2" s="1" t="s">
        <v>76</v>
      </c>
      <c r="L2" s="49" t="s">
        <v>76</v>
      </c>
    </row>
    <row r="3" spans="4:12" x14ac:dyDescent="0.35">
      <c r="D3" s="70" t="s">
        <v>3</v>
      </c>
      <c r="E3" s="1">
        <v>2018</v>
      </c>
      <c r="F3" s="24">
        <v>7.2473835952560864E-2</v>
      </c>
      <c r="G3" s="20">
        <v>0.66666666666666663</v>
      </c>
      <c r="H3" s="25">
        <v>0</v>
      </c>
      <c r="I3" s="1">
        <v>1</v>
      </c>
      <c r="J3" s="1">
        <v>1</v>
      </c>
      <c r="K3" s="9">
        <v>-0.19840292976581952</v>
      </c>
      <c r="L3">
        <f>IF(K3&lt;1,0,1)</f>
        <v>0</v>
      </c>
    </row>
    <row r="4" spans="4:12" x14ac:dyDescent="0.35">
      <c r="D4" s="70"/>
      <c r="E4" s="1">
        <v>2019</v>
      </c>
      <c r="F4" s="24">
        <v>-6.4311201308550989E-2</v>
      </c>
      <c r="G4" s="20">
        <v>0.5</v>
      </c>
      <c r="H4" s="25">
        <v>1</v>
      </c>
      <c r="I4" s="1">
        <v>1</v>
      </c>
      <c r="J4" s="1">
        <v>0</v>
      </c>
      <c r="K4" s="9">
        <v>-2.1812377723355054E-2</v>
      </c>
      <c r="L4">
        <f t="shared" ref="L4:L67" si="0">IF(K4&lt;1,0,1)</f>
        <v>0</v>
      </c>
    </row>
    <row r="5" spans="4:12" x14ac:dyDescent="0.35">
      <c r="D5" s="70"/>
      <c r="E5" s="1">
        <v>2020</v>
      </c>
      <c r="F5" s="24">
        <v>-0.1829614606789437</v>
      </c>
      <c r="G5" s="20">
        <v>0.5</v>
      </c>
      <c r="H5" s="25">
        <v>0</v>
      </c>
      <c r="I5" s="1">
        <v>1</v>
      </c>
      <c r="J5" s="1">
        <v>0</v>
      </c>
      <c r="K5" s="9">
        <v>-0.24739534257478288</v>
      </c>
      <c r="L5">
        <f t="shared" si="0"/>
        <v>0</v>
      </c>
    </row>
    <row r="6" spans="4:12" x14ac:dyDescent="0.35">
      <c r="D6" s="70"/>
      <c r="E6" s="1">
        <v>2021</v>
      </c>
      <c r="F6" s="24">
        <v>0.44315016527119966</v>
      </c>
      <c r="G6" s="20">
        <v>0.5</v>
      </c>
      <c r="H6" s="25">
        <v>0</v>
      </c>
      <c r="I6" s="1">
        <v>0</v>
      </c>
      <c r="J6" s="1">
        <v>0</v>
      </c>
      <c r="K6" s="9">
        <v>3.8423968402472558E-2</v>
      </c>
      <c r="L6">
        <f t="shared" si="0"/>
        <v>0</v>
      </c>
    </row>
    <row r="7" spans="4:12" x14ac:dyDescent="0.35">
      <c r="D7" s="71" t="s">
        <v>4</v>
      </c>
      <c r="E7" s="1">
        <v>2018</v>
      </c>
      <c r="F7" s="24">
        <v>0.12973504725588977</v>
      </c>
      <c r="G7" s="20">
        <v>0.75</v>
      </c>
      <c r="H7" s="25">
        <v>0</v>
      </c>
      <c r="I7" s="1">
        <v>1</v>
      </c>
      <c r="J7" s="1">
        <v>0</v>
      </c>
      <c r="K7" s="9">
        <v>-5.6450862734814256E-2</v>
      </c>
      <c r="L7">
        <f t="shared" si="0"/>
        <v>0</v>
      </c>
    </row>
    <row r="8" spans="4:12" x14ac:dyDescent="0.35">
      <c r="D8" s="71"/>
      <c r="E8" s="1">
        <v>2019</v>
      </c>
      <c r="F8" s="24">
        <v>6.0017552426410974E-3</v>
      </c>
      <c r="G8" s="20">
        <v>0.75</v>
      </c>
      <c r="H8" s="25">
        <v>0</v>
      </c>
      <c r="I8" s="1">
        <v>0</v>
      </c>
      <c r="J8" s="1">
        <v>0</v>
      </c>
      <c r="K8" s="9">
        <v>8.4670737913989047E-2</v>
      </c>
      <c r="L8">
        <f t="shared" si="0"/>
        <v>0</v>
      </c>
    </row>
    <row r="9" spans="4:12" x14ac:dyDescent="0.35">
      <c r="D9" s="71"/>
      <c r="E9" s="1">
        <v>2020</v>
      </c>
      <c r="F9" s="24">
        <v>1.5685639055726487E-2</v>
      </c>
      <c r="G9" s="20">
        <v>0.66666666666666663</v>
      </c>
      <c r="H9" s="25">
        <v>1</v>
      </c>
      <c r="I9" s="1">
        <v>1</v>
      </c>
      <c r="J9" s="1">
        <v>1</v>
      </c>
      <c r="K9" s="9">
        <v>-0.68864257060086598</v>
      </c>
      <c r="L9">
        <f t="shared" si="0"/>
        <v>0</v>
      </c>
    </row>
    <row r="10" spans="4:12" x14ac:dyDescent="0.35">
      <c r="D10" s="71"/>
      <c r="E10" s="1">
        <v>2021</v>
      </c>
      <c r="F10" s="24">
        <v>-9.9921832581488183E-3</v>
      </c>
      <c r="G10" s="20">
        <v>0.66666666666666663</v>
      </c>
      <c r="H10" s="25">
        <v>1</v>
      </c>
      <c r="I10" s="1">
        <v>1</v>
      </c>
      <c r="J10" s="1">
        <v>0</v>
      </c>
      <c r="K10" s="9">
        <v>1.7048387672324319</v>
      </c>
      <c r="L10">
        <f t="shared" si="0"/>
        <v>1</v>
      </c>
    </row>
    <row r="11" spans="4:12" x14ac:dyDescent="0.35">
      <c r="D11" s="71" t="s">
        <v>5</v>
      </c>
      <c r="E11" s="1">
        <v>2018</v>
      </c>
      <c r="F11" s="24">
        <v>0.13990937257357325</v>
      </c>
      <c r="G11" s="20">
        <v>0.55555555555555558</v>
      </c>
      <c r="H11" s="25">
        <v>0</v>
      </c>
      <c r="I11" s="1">
        <v>1</v>
      </c>
      <c r="J11" s="1">
        <v>1</v>
      </c>
      <c r="K11" s="9">
        <v>-1.4049192731345556E-2</v>
      </c>
      <c r="L11">
        <f t="shared" si="0"/>
        <v>0</v>
      </c>
    </row>
    <row r="12" spans="4:12" x14ac:dyDescent="0.35">
      <c r="D12" s="71"/>
      <c r="E12" s="1">
        <v>2019</v>
      </c>
      <c r="F12" s="24">
        <v>4.5800740683812763E-2</v>
      </c>
      <c r="G12" s="20">
        <v>0.625</v>
      </c>
      <c r="H12" s="25">
        <v>0</v>
      </c>
      <c r="I12" s="1">
        <v>1</v>
      </c>
      <c r="J12" s="1">
        <v>0</v>
      </c>
      <c r="K12" s="9">
        <v>3.5142430250450642E-2</v>
      </c>
      <c r="L12">
        <f t="shared" si="0"/>
        <v>0</v>
      </c>
    </row>
    <row r="13" spans="4:12" x14ac:dyDescent="0.35">
      <c r="D13" s="71"/>
      <c r="E13" s="1">
        <v>2020</v>
      </c>
      <c r="F13" s="24">
        <v>5.4082231953330166E-2</v>
      </c>
      <c r="G13" s="20">
        <v>0.6</v>
      </c>
      <c r="H13" s="25">
        <v>0</v>
      </c>
      <c r="I13" s="1">
        <v>1</v>
      </c>
      <c r="J13" s="1">
        <v>0</v>
      </c>
      <c r="K13" s="9">
        <v>-0.13688096083072815</v>
      </c>
      <c r="L13">
        <f t="shared" si="0"/>
        <v>0</v>
      </c>
    </row>
    <row r="14" spans="4:12" x14ac:dyDescent="0.35">
      <c r="D14" s="71"/>
      <c r="E14" s="1">
        <v>2021</v>
      </c>
      <c r="F14" s="24">
        <v>8.2460653999802597E-2</v>
      </c>
      <c r="G14" s="20">
        <v>0.7</v>
      </c>
      <c r="H14" s="25">
        <v>1</v>
      </c>
      <c r="I14" s="1">
        <v>1</v>
      </c>
      <c r="J14" s="1">
        <v>0</v>
      </c>
      <c r="K14" s="9">
        <v>-0.12222710881289107</v>
      </c>
      <c r="L14">
        <f t="shared" si="0"/>
        <v>0</v>
      </c>
    </row>
    <row r="15" spans="4:12" x14ac:dyDescent="0.35">
      <c r="D15" s="71" t="s">
        <v>6</v>
      </c>
      <c r="E15" s="1">
        <v>2018</v>
      </c>
      <c r="F15" s="24">
        <v>0.1724442100411146</v>
      </c>
      <c r="G15" s="20">
        <v>0.55555555555555558</v>
      </c>
      <c r="H15" s="25">
        <v>0</v>
      </c>
      <c r="I15" s="1">
        <v>1</v>
      </c>
      <c r="J15" s="1">
        <v>0</v>
      </c>
      <c r="K15" s="9">
        <v>-4.1393197862100439E-3</v>
      </c>
      <c r="L15">
        <f t="shared" si="0"/>
        <v>0</v>
      </c>
    </row>
    <row r="16" spans="4:12" x14ac:dyDescent="0.35">
      <c r="D16" s="71"/>
      <c r="E16" s="1">
        <v>2019</v>
      </c>
      <c r="F16" s="24">
        <v>1.7428208888405655E-2</v>
      </c>
      <c r="G16" s="20">
        <v>0.5</v>
      </c>
      <c r="H16" s="25">
        <v>0</v>
      </c>
      <c r="I16" s="1">
        <v>1</v>
      </c>
      <c r="J16" s="1">
        <v>1</v>
      </c>
      <c r="K16" s="9">
        <v>9.4276091302000181E-2</v>
      </c>
      <c r="L16">
        <f t="shared" si="0"/>
        <v>0</v>
      </c>
    </row>
    <row r="17" spans="4:12" x14ac:dyDescent="0.35">
      <c r="D17" s="71"/>
      <c r="E17" s="1">
        <v>2020</v>
      </c>
      <c r="F17" s="24">
        <v>0.15854795340980249</v>
      </c>
      <c r="G17" s="20">
        <v>0.5</v>
      </c>
      <c r="H17" s="25">
        <v>0</v>
      </c>
      <c r="I17" s="1">
        <v>0</v>
      </c>
      <c r="J17" s="1">
        <v>1</v>
      </c>
      <c r="K17" s="9">
        <v>-4.250413025691268E-2</v>
      </c>
      <c r="L17">
        <f t="shared" si="0"/>
        <v>0</v>
      </c>
    </row>
    <row r="18" spans="4:12" x14ac:dyDescent="0.35">
      <c r="D18" s="71"/>
      <c r="E18" s="1">
        <v>2021</v>
      </c>
      <c r="F18" s="24">
        <v>2.9511785503685096E-2</v>
      </c>
      <c r="G18" s="20">
        <v>0.5714285714285714</v>
      </c>
      <c r="H18" s="25">
        <v>0</v>
      </c>
      <c r="I18" s="1">
        <v>1</v>
      </c>
      <c r="J18" s="1">
        <v>0</v>
      </c>
      <c r="K18" s="9">
        <v>-1.6695151779572145E-2</v>
      </c>
      <c r="L18">
        <f t="shared" si="0"/>
        <v>0</v>
      </c>
    </row>
    <row r="19" spans="4:12" x14ac:dyDescent="0.35">
      <c r="D19" s="71" t="s">
        <v>7</v>
      </c>
      <c r="E19" s="1">
        <v>2018</v>
      </c>
      <c r="F19" s="24">
        <v>-5.6355890881692808E-2</v>
      </c>
      <c r="G19" s="20">
        <v>0.33333333333333331</v>
      </c>
      <c r="H19" s="25">
        <v>0</v>
      </c>
      <c r="I19" s="1">
        <v>1</v>
      </c>
      <c r="J19" s="1">
        <v>1</v>
      </c>
      <c r="K19" s="9">
        <v>0.54940431604201667</v>
      </c>
      <c r="L19">
        <f t="shared" si="0"/>
        <v>0</v>
      </c>
    </row>
    <row r="20" spans="4:12" x14ac:dyDescent="0.35">
      <c r="D20" s="71"/>
      <c r="E20" s="1">
        <v>2019</v>
      </c>
      <c r="F20" s="24">
        <v>-2.0131351929495951E-2</v>
      </c>
      <c r="G20" s="20">
        <v>0.33333333333333331</v>
      </c>
      <c r="H20" s="25">
        <v>0</v>
      </c>
      <c r="I20" s="1">
        <v>1</v>
      </c>
      <c r="J20" s="1">
        <v>1</v>
      </c>
      <c r="K20" s="9">
        <v>0.13547312530646227</v>
      </c>
      <c r="L20">
        <f t="shared" si="0"/>
        <v>0</v>
      </c>
    </row>
    <row r="21" spans="4:12" x14ac:dyDescent="0.35">
      <c r="D21" s="71"/>
      <c r="E21" s="1">
        <v>2020</v>
      </c>
      <c r="F21" s="24">
        <v>3.8974207513133664E-2</v>
      </c>
      <c r="G21" s="20">
        <v>0.33333333333333331</v>
      </c>
      <c r="H21" s="25">
        <v>0</v>
      </c>
      <c r="I21" s="1">
        <v>1</v>
      </c>
      <c r="J21" s="1">
        <v>1</v>
      </c>
      <c r="K21" s="9">
        <v>-0.13647549738282233</v>
      </c>
      <c r="L21">
        <f t="shared" si="0"/>
        <v>0</v>
      </c>
    </row>
    <row r="22" spans="4:12" x14ac:dyDescent="0.35">
      <c r="D22" s="71"/>
      <c r="E22" s="1">
        <v>2021</v>
      </c>
      <c r="F22" s="24">
        <v>0.13362384385012605</v>
      </c>
      <c r="G22" s="20">
        <v>0.33333333333333331</v>
      </c>
      <c r="H22" s="25">
        <v>0</v>
      </c>
      <c r="I22" s="1">
        <v>1</v>
      </c>
      <c r="J22" s="1">
        <v>1</v>
      </c>
      <c r="K22" s="9">
        <v>0.10666339495079756</v>
      </c>
      <c r="L22">
        <f t="shared" si="0"/>
        <v>0</v>
      </c>
    </row>
    <row r="23" spans="4:12" x14ac:dyDescent="0.35">
      <c r="D23" s="71" t="s">
        <v>8</v>
      </c>
      <c r="E23" s="1">
        <v>2018</v>
      </c>
      <c r="F23" s="24">
        <v>4.7712530842812136E-2</v>
      </c>
      <c r="G23" s="20">
        <v>0.5</v>
      </c>
      <c r="H23" s="25">
        <v>0</v>
      </c>
      <c r="I23" s="1">
        <v>1</v>
      </c>
      <c r="J23" s="1">
        <v>1</v>
      </c>
      <c r="K23" s="9">
        <v>4.9778599612096981E-3</v>
      </c>
      <c r="L23">
        <f t="shared" si="0"/>
        <v>0</v>
      </c>
    </row>
    <row r="24" spans="4:12" x14ac:dyDescent="0.35">
      <c r="D24" s="71"/>
      <c r="E24" s="1">
        <v>2019</v>
      </c>
      <c r="F24" s="24">
        <v>3.6258843592800252E-2</v>
      </c>
      <c r="G24" s="20">
        <v>0.5</v>
      </c>
      <c r="H24" s="25">
        <v>0</v>
      </c>
      <c r="I24" s="1">
        <v>1</v>
      </c>
      <c r="J24" s="1">
        <v>1</v>
      </c>
      <c r="K24" s="9">
        <v>-0.10184305911932798</v>
      </c>
      <c r="L24">
        <f t="shared" si="0"/>
        <v>0</v>
      </c>
    </row>
    <row r="25" spans="4:12" x14ac:dyDescent="0.35">
      <c r="D25" s="71"/>
      <c r="E25" s="1">
        <v>2020</v>
      </c>
      <c r="F25" s="24">
        <v>3.8009337585541182E-2</v>
      </c>
      <c r="G25" s="20">
        <v>0.5</v>
      </c>
      <c r="H25" s="25">
        <v>0</v>
      </c>
      <c r="I25" s="1">
        <v>0</v>
      </c>
      <c r="J25" s="1">
        <v>0</v>
      </c>
      <c r="K25" s="9">
        <v>-0.19522420580213729</v>
      </c>
      <c r="L25">
        <f t="shared" si="0"/>
        <v>0</v>
      </c>
    </row>
    <row r="26" spans="4:12" x14ac:dyDescent="0.35">
      <c r="D26" s="71"/>
      <c r="E26" s="1">
        <v>2021</v>
      </c>
      <c r="F26" s="24">
        <v>-4.3060217392131103E-2</v>
      </c>
      <c r="G26" s="20">
        <v>0.5</v>
      </c>
      <c r="H26" s="25">
        <v>1</v>
      </c>
      <c r="I26" s="1">
        <v>0</v>
      </c>
      <c r="J26" s="1">
        <v>0</v>
      </c>
      <c r="K26" s="9">
        <v>5.9473899014668069E-2</v>
      </c>
      <c r="L26">
        <f t="shared" si="0"/>
        <v>0</v>
      </c>
    </row>
    <row r="27" spans="4:12" x14ac:dyDescent="0.35">
      <c r="D27" s="71" t="s">
        <v>9</v>
      </c>
      <c r="E27" s="1">
        <v>2018</v>
      </c>
      <c r="F27" s="24">
        <v>0.15980030179685795</v>
      </c>
      <c r="G27" s="20">
        <v>0.5</v>
      </c>
      <c r="H27" s="25">
        <v>0</v>
      </c>
      <c r="I27" s="1">
        <v>0</v>
      </c>
      <c r="J27" s="1">
        <v>1</v>
      </c>
      <c r="K27" s="9">
        <v>0.41867518427627093</v>
      </c>
      <c r="L27">
        <f t="shared" si="0"/>
        <v>0</v>
      </c>
    </row>
    <row r="28" spans="4:12" x14ac:dyDescent="0.35">
      <c r="D28" s="71"/>
      <c r="E28" s="1">
        <v>2019</v>
      </c>
      <c r="F28" s="24">
        <v>-1.4474843603740171E-3</v>
      </c>
      <c r="G28" s="20">
        <v>0.42857142857142855</v>
      </c>
      <c r="H28" s="25">
        <v>0</v>
      </c>
      <c r="I28" s="1">
        <v>1</v>
      </c>
      <c r="J28" s="1">
        <v>1</v>
      </c>
      <c r="K28" s="9">
        <v>-9.0152443658912521E-2</v>
      </c>
      <c r="L28">
        <f t="shared" si="0"/>
        <v>0</v>
      </c>
    </row>
    <row r="29" spans="4:12" x14ac:dyDescent="0.35">
      <c r="D29" s="71"/>
      <c r="E29" s="1">
        <v>2020</v>
      </c>
      <c r="F29" s="24">
        <v>-0.20372848446064939</v>
      </c>
      <c r="G29" s="20">
        <v>0.42857142857142855</v>
      </c>
      <c r="H29" s="25">
        <v>0</v>
      </c>
      <c r="I29" s="1">
        <v>0</v>
      </c>
      <c r="J29" s="1">
        <v>1</v>
      </c>
      <c r="K29" s="9">
        <v>-0.30753782017856363</v>
      </c>
      <c r="L29">
        <f t="shared" si="0"/>
        <v>0</v>
      </c>
    </row>
    <row r="30" spans="4:12" x14ac:dyDescent="0.35">
      <c r="D30" s="71"/>
      <c r="E30" s="1">
        <v>2021</v>
      </c>
      <c r="F30" s="24">
        <v>2.8631105058106194E-2</v>
      </c>
      <c r="G30" s="20">
        <v>0.33333333333333331</v>
      </c>
      <c r="H30" s="25">
        <v>0</v>
      </c>
      <c r="I30" s="1">
        <v>0</v>
      </c>
      <c r="J30" s="1">
        <v>1</v>
      </c>
      <c r="K30" s="9">
        <v>-9.0383033000830643E-2</v>
      </c>
      <c r="L30">
        <f t="shared" si="0"/>
        <v>0</v>
      </c>
    </row>
    <row r="31" spans="4:12" x14ac:dyDescent="0.35">
      <c r="D31" s="71" t="s">
        <v>10</v>
      </c>
      <c r="E31" s="1">
        <v>2018</v>
      </c>
      <c r="F31" s="24">
        <v>1.7875826088504271E-3</v>
      </c>
      <c r="G31" s="20">
        <v>0.4</v>
      </c>
      <c r="H31" s="25">
        <v>0</v>
      </c>
      <c r="I31" s="1">
        <v>1</v>
      </c>
      <c r="J31" s="1">
        <v>1</v>
      </c>
      <c r="K31" s="9">
        <v>3.6243318982429884E-2</v>
      </c>
      <c r="L31">
        <f t="shared" si="0"/>
        <v>0</v>
      </c>
    </row>
    <row r="32" spans="4:12" x14ac:dyDescent="0.35">
      <c r="D32" s="71"/>
      <c r="E32" s="1">
        <v>2019</v>
      </c>
      <c r="F32" s="24">
        <v>2.8809078056829862E-2</v>
      </c>
      <c r="G32" s="20">
        <v>0.5</v>
      </c>
      <c r="H32" s="25">
        <v>0</v>
      </c>
      <c r="I32" s="1">
        <v>1</v>
      </c>
      <c r="J32" s="1">
        <v>1</v>
      </c>
      <c r="K32" s="9">
        <v>2.9984470838653486E-2</v>
      </c>
      <c r="L32">
        <f t="shared" si="0"/>
        <v>0</v>
      </c>
    </row>
    <row r="33" spans="4:12" x14ac:dyDescent="0.35">
      <c r="D33" s="71"/>
      <c r="E33" s="1">
        <v>2020</v>
      </c>
      <c r="F33" s="24">
        <v>2.3596179663373799E-2</v>
      </c>
      <c r="G33" s="20">
        <v>0.33333333333333331</v>
      </c>
      <c r="H33" s="25">
        <v>0</v>
      </c>
      <c r="I33" s="1">
        <v>1</v>
      </c>
      <c r="J33" s="1">
        <v>1</v>
      </c>
      <c r="K33" s="9">
        <v>-0.15633807369462527</v>
      </c>
      <c r="L33">
        <f t="shared" si="0"/>
        <v>0</v>
      </c>
    </row>
    <row r="34" spans="4:12" x14ac:dyDescent="0.35">
      <c r="D34" s="71"/>
      <c r="E34" s="1">
        <v>2021</v>
      </c>
      <c r="F34" s="24">
        <v>0.10622542912126438</v>
      </c>
      <c r="G34" s="20">
        <v>0.5</v>
      </c>
      <c r="H34" s="25">
        <v>0</v>
      </c>
      <c r="I34" s="1">
        <v>1</v>
      </c>
      <c r="J34" s="1">
        <v>1</v>
      </c>
      <c r="K34" s="9">
        <v>6.6769427819196259E-2</v>
      </c>
      <c r="L34">
        <f t="shared" si="0"/>
        <v>0</v>
      </c>
    </row>
    <row r="35" spans="4:12" x14ac:dyDescent="0.35">
      <c r="D35" s="71" t="s">
        <v>11</v>
      </c>
      <c r="E35" s="1">
        <v>2018</v>
      </c>
      <c r="F35" s="24">
        <v>2.4700033317077576E-2</v>
      </c>
      <c r="G35" s="20">
        <v>0.5</v>
      </c>
      <c r="H35" s="25">
        <v>0</v>
      </c>
      <c r="I35" s="1">
        <v>1</v>
      </c>
      <c r="J35" s="1">
        <v>1</v>
      </c>
      <c r="K35" s="9">
        <v>-0.17180835004450754</v>
      </c>
      <c r="L35">
        <f t="shared" si="0"/>
        <v>0</v>
      </c>
    </row>
    <row r="36" spans="4:12" x14ac:dyDescent="0.35">
      <c r="D36" s="71"/>
      <c r="E36" s="1">
        <v>2019</v>
      </c>
      <c r="F36" s="24">
        <v>-4.7596980610766712E-2</v>
      </c>
      <c r="G36" s="20">
        <v>0.5</v>
      </c>
      <c r="H36" s="25">
        <v>0</v>
      </c>
      <c r="I36" s="1">
        <v>1</v>
      </c>
      <c r="J36" s="1">
        <v>1</v>
      </c>
      <c r="K36" s="9">
        <v>0.20563519574351558</v>
      </c>
      <c r="L36">
        <f t="shared" si="0"/>
        <v>0</v>
      </c>
    </row>
    <row r="37" spans="4:12" x14ac:dyDescent="0.35">
      <c r="D37" s="71"/>
      <c r="E37" s="1">
        <v>2020</v>
      </c>
      <c r="F37" s="24">
        <v>2.4494397213484065E-2</v>
      </c>
      <c r="G37" s="20">
        <v>0.5</v>
      </c>
      <c r="H37" s="25">
        <v>0</v>
      </c>
      <c r="I37" s="1">
        <v>1</v>
      </c>
      <c r="J37" s="1">
        <v>1</v>
      </c>
      <c r="K37" s="9">
        <v>-7.33567671482519E-2</v>
      </c>
      <c r="L37">
        <f t="shared" si="0"/>
        <v>0</v>
      </c>
    </row>
    <row r="38" spans="4:12" x14ac:dyDescent="0.35">
      <c r="D38" s="71"/>
      <c r="E38" s="1">
        <v>2021</v>
      </c>
      <c r="F38" s="24">
        <v>-2.5781216102497145E-2</v>
      </c>
      <c r="G38" s="20">
        <v>0.5714285714285714</v>
      </c>
      <c r="H38" s="25">
        <v>0</v>
      </c>
      <c r="I38" s="1">
        <v>1</v>
      </c>
      <c r="J38" s="1">
        <v>1</v>
      </c>
      <c r="K38" s="9">
        <v>-9.201919235376875E-2</v>
      </c>
      <c r="L38">
        <f t="shared" si="0"/>
        <v>0</v>
      </c>
    </row>
    <row r="39" spans="4:12" x14ac:dyDescent="0.35">
      <c r="D39" s="71" t="s">
        <v>12</v>
      </c>
      <c r="E39" s="1">
        <v>2018</v>
      </c>
      <c r="F39" s="24">
        <v>3.077291282847644E-2</v>
      </c>
      <c r="G39" s="20">
        <v>0.5</v>
      </c>
      <c r="H39" s="25">
        <v>0</v>
      </c>
      <c r="I39" s="1">
        <v>1</v>
      </c>
      <c r="J39" s="1">
        <v>0</v>
      </c>
      <c r="K39" s="9">
        <v>-0.16987753418303958</v>
      </c>
      <c r="L39">
        <f t="shared" si="0"/>
        <v>0</v>
      </c>
    </row>
    <row r="40" spans="4:12" x14ac:dyDescent="0.35">
      <c r="D40" s="71"/>
      <c r="E40" s="1">
        <v>2019</v>
      </c>
      <c r="F40" s="24">
        <v>5.5976405073079077E-2</v>
      </c>
      <c r="G40" s="20">
        <v>0.5</v>
      </c>
      <c r="H40" s="25">
        <v>0</v>
      </c>
      <c r="I40" s="1">
        <v>1</v>
      </c>
      <c r="J40" s="1">
        <v>1</v>
      </c>
      <c r="K40" s="9">
        <v>-5.6707035398179603E-3</v>
      </c>
      <c r="L40">
        <f t="shared" si="0"/>
        <v>0</v>
      </c>
    </row>
    <row r="41" spans="4:12" x14ac:dyDescent="0.35">
      <c r="D41" s="71"/>
      <c r="E41" s="1">
        <v>2020</v>
      </c>
      <c r="F41" s="24">
        <v>0.22467980878365279</v>
      </c>
      <c r="G41" s="20">
        <v>0.5</v>
      </c>
      <c r="H41" s="25">
        <v>0</v>
      </c>
      <c r="I41" s="1">
        <v>0</v>
      </c>
      <c r="J41" s="1">
        <v>1</v>
      </c>
      <c r="K41" s="9">
        <v>0.11485175353618421</v>
      </c>
      <c r="L41">
        <f t="shared" si="0"/>
        <v>0</v>
      </c>
    </row>
    <row r="42" spans="4:12" x14ac:dyDescent="0.35">
      <c r="D42" s="71"/>
      <c r="E42" s="1">
        <v>2021</v>
      </c>
      <c r="F42" s="24">
        <v>0.18537231835411186</v>
      </c>
      <c r="G42" s="20">
        <v>0.5714285714285714</v>
      </c>
      <c r="H42" s="25">
        <v>0</v>
      </c>
      <c r="I42" s="1">
        <v>1</v>
      </c>
      <c r="J42" s="1">
        <v>0</v>
      </c>
      <c r="K42" s="9">
        <v>-2.4415918259022992E-2</v>
      </c>
      <c r="L42">
        <f t="shared" si="0"/>
        <v>0</v>
      </c>
    </row>
    <row r="43" spans="4:12" x14ac:dyDescent="0.35">
      <c r="D43" s="71" t="s">
        <v>13</v>
      </c>
      <c r="E43" s="1">
        <v>2018</v>
      </c>
      <c r="F43" s="24">
        <v>6.7931799119470421E-2</v>
      </c>
      <c r="G43" s="20">
        <v>0.33333333333333331</v>
      </c>
      <c r="H43" s="25">
        <v>0</v>
      </c>
      <c r="I43" s="1">
        <v>1</v>
      </c>
      <c r="J43" s="1">
        <v>1</v>
      </c>
      <c r="K43" s="9">
        <v>0.12713977769178098</v>
      </c>
      <c r="L43">
        <f t="shared" si="0"/>
        <v>0</v>
      </c>
    </row>
    <row r="44" spans="4:12" x14ac:dyDescent="0.35">
      <c r="D44" s="71"/>
      <c r="E44" s="1">
        <v>2019</v>
      </c>
      <c r="F44" s="24">
        <v>0.11494670143842602</v>
      </c>
      <c r="G44" s="20">
        <v>0.33333333333333331</v>
      </c>
      <c r="H44" s="25">
        <v>0</v>
      </c>
      <c r="I44" s="1">
        <v>0</v>
      </c>
      <c r="J44" s="1">
        <v>1</v>
      </c>
      <c r="K44" s="9">
        <v>6.9550104050011621E-2</v>
      </c>
      <c r="L44">
        <f t="shared" si="0"/>
        <v>0</v>
      </c>
    </row>
    <row r="45" spans="4:12" x14ac:dyDescent="0.35">
      <c r="D45" s="71"/>
      <c r="E45" s="1">
        <v>2020</v>
      </c>
      <c r="F45" s="24">
        <v>-0.16762151209847875</v>
      </c>
      <c r="G45" s="20">
        <v>0.33333333333333331</v>
      </c>
      <c r="H45" s="25">
        <v>0</v>
      </c>
      <c r="I45" s="1">
        <v>1</v>
      </c>
      <c r="J45" s="1">
        <v>1</v>
      </c>
      <c r="K45" s="9">
        <v>-7.5498452534777022E-2</v>
      </c>
      <c r="L45">
        <f t="shared" si="0"/>
        <v>0</v>
      </c>
    </row>
    <row r="46" spans="4:12" x14ac:dyDescent="0.35">
      <c r="D46" s="71"/>
      <c r="E46" s="1">
        <v>2021</v>
      </c>
      <c r="F46" s="24">
        <v>-0.18831787180744997</v>
      </c>
      <c r="G46" s="20">
        <v>0.33333333333333331</v>
      </c>
      <c r="H46" s="25">
        <v>1</v>
      </c>
      <c r="I46" s="1">
        <v>0</v>
      </c>
      <c r="J46" s="1">
        <v>1</v>
      </c>
      <c r="K46" s="9">
        <v>0.18075765245189199</v>
      </c>
      <c r="L46">
        <f t="shared" si="0"/>
        <v>0</v>
      </c>
    </row>
    <row r="47" spans="4:12" x14ac:dyDescent="0.35">
      <c r="D47" s="71" t="s">
        <v>14</v>
      </c>
      <c r="E47" s="1">
        <v>2018</v>
      </c>
      <c r="F47" s="24">
        <v>4.6719106799968234E-2</v>
      </c>
      <c r="G47" s="20">
        <v>0.66666666666666663</v>
      </c>
      <c r="H47" s="25">
        <v>0</v>
      </c>
      <c r="I47" s="1">
        <v>1</v>
      </c>
      <c r="J47" s="1">
        <v>1</v>
      </c>
      <c r="K47" s="9">
        <v>-0.19688577179213587</v>
      </c>
      <c r="L47">
        <f t="shared" si="0"/>
        <v>0</v>
      </c>
    </row>
    <row r="48" spans="4:12" x14ac:dyDescent="0.35">
      <c r="D48" s="71"/>
      <c r="E48" s="1">
        <v>2019</v>
      </c>
      <c r="F48" s="24">
        <v>9.4173569985051102E-3</v>
      </c>
      <c r="G48" s="20">
        <v>0.66666666666666663</v>
      </c>
      <c r="H48" s="25">
        <v>0</v>
      </c>
      <c r="I48" s="1">
        <v>1</v>
      </c>
      <c r="J48" s="1">
        <v>0</v>
      </c>
      <c r="K48" s="9">
        <v>-0.17730185936597023</v>
      </c>
      <c r="L48">
        <f t="shared" si="0"/>
        <v>0</v>
      </c>
    </row>
    <row r="49" spans="4:12" x14ac:dyDescent="0.35">
      <c r="D49" s="71"/>
      <c r="E49" s="1">
        <v>2020</v>
      </c>
      <c r="F49" s="24">
        <v>-0.1390526507868963</v>
      </c>
      <c r="G49" s="20">
        <v>0.66666666666666663</v>
      </c>
      <c r="H49" s="25">
        <v>0</v>
      </c>
      <c r="I49" s="1">
        <v>0</v>
      </c>
      <c r="J49" s="1">
        <v>0</v>
      </c>
      <c r="K49" s="9">
        <v>0.17028232945247054</v>
      </c>
      <c r="L49">
        <f t="shared" si="0"/>
        <v>0</v>
      </c>
    </row>
    <row r="50" spans="4:12" x14ac:dyDescent="0.35">
      <c r="D50" s="71"/>
      <c r="E50" s="1">
        <v>2021</v>
      </c>
      <c r="F50" s="24">
        <v>-4.8596339779269956E-2</v>
      </c>
      <c r="G50" s="20">
        <v>0.66666666666666663</v>
      </c>
      <c r="H50" s="25">
        <v>1</v>
      </c>
      <c r="I50" s="1">
        <v>0</v>
      </c>
      <c r="J50" s="1">
        <v>0</v>
      </c>
      <c r="K50" s="9">
        <v>0.36225582757375091</v>
      </c>
      <c r="L50">
        <f t="shared" si="0"/>
        <v>0</v>
      </c>
    </row>
    <row r="51" spans="4:12" x14ac:dyDescent="0.35">
      <c r="D51" s="71" t="s">
        <v>15</v>
      </c>
      <c r="E51" s="1">
        <v>2018</v>
      </c>
      <c r="F51" s="24">
        <v>0.1225811855181395</v>
      </c>
      <c r="G51" s="20">
        <v>0.5</v>
      </c>
      <c r="H51" s="25">
        <v>0</v>
      </c>
      <c r="I51" s="1">
        <v>0</v>
      </c>
      <c r="J51" s="1">
        <v>0</v>
      </c>
      <c r="K51" s="9">
        <v>0.35474075124416754</v>
      </c>
      <c r="L51">
        <f t="shared" si="0"/>
        <v>0</v>
      </c>
    </row>
    <row r="52" spans="4:12" x14ac:dyDescent="0.35">
      <c r="D52" s="71"/>
      <c r="E52" s="1">
        <v>2019</v>
      </c>
      <c r="F52" s="24">
        <v>9.1342290985658561E-2</v>
      </c>
      <c r="G52" s="20">
        <v>0.5</v>
      </c>
      <c r="H52" s="25">
        <v>1</v>
      </c>
      <c r="I52" s="1">
        <v>0</v>
      </c>
      <c r="J52" s="1">
        <v>0</v>
      </c>
      <c r="K52" s="9">
        <v>7.4513388019390892E-2</v>
      </c>
      <c r="L52">
        <f t="shared" si="0"/>
        <v>0</v>
      </c>
    </row>
    <row r="53" spans="4:12" x14ac:dyDescent="0.35">
      <c r="D53" s="71"/>
      <c r="E53" s="1">
        <v>2020</v>
      </c>
      <c r="F53" s="24">
        <v>-9.903231069755361E-2</v>
      </c>
      <c r="G53" s="20">
        <v>0.5</v>
      </c>
      <c r="H53" s="25">
        <v>0</v>
      </c>
      <c r="I53" s="1">
        <v>0</v>
      </c>
      <c r="J53" s="1">
        <v>0</v>
      </c>
      <c r="K53" s="9">
        <v>-9.4826326553697216E-4</v>
      </c>
      <c r="L53">
        <f t="shared" si="0"/>
        <v>0</v>
      </c>
    </row>
    <row r="54" spans="4:12" x14ac:dyDescent="0.35">
      <c r="D54" s="71"/>
      <c r="E54" s="1">
        <v>2021</v>
      </c>
      <c r="F54" s="24">
        <v>-0.34747583337594584</v>
      </c>
      <c r="G54" s="20">
        <v>0.33333333333333331</v>
      </c>
      <c r="H54" s="25">
        <v>0</v>
      </c>
      <c r="I54" s="1">
        <v>1</v>
      </c>
      <c r="J54" s="1">
        <v>1</v>
      </c>
      <c r="K54" s="9">
        <v>6.6581626433572932E-2</v>
      </c>
      <c r="L54">
        <f t="shared" si="0"/>
        <v>0</v>
      </c>
    </row>
    <row r="55" spans="4:12" x14ac:dyDescent="0.35">
      <c r="D55" s="71" t="s">
        <v>16</v>
      </c>
      <c r="E55" s="1">
        <v>2018</v>
      </c>
      <c r="F55" s="24">
        <v>-0.4128538653375588</v>
      </c>
      <c r="G55" s="20">
        <v>0.33333333333333331</v>
      </c>
      <c r="H55" s="25">
        <v>0</v>
      </c>
      <c r="I55" s="1">
        <v>1</v>
      </c>
      <c r="J55" s="1">
        <v>0</v>
      </c>
      <c r="K55" s="9">
        <v>-0.43485301789872277</v>
      </c>
      <c r="L55">
        <f t="shared" si="0"/>
        <v>0</v>
      </c>
    </row>
    <row r="56" spans="4:12" x14ac:dyDescent="0.35">
      <c r="D56" s="71"/>
      <c r="E56" s="1">
        <v>2019</v>
      </c>
      <c r="F56" s="24">
        <v>-0.4730847714025726</v>
      </c>
      <c r="G56" s="20">
        <v>0.33333333333333331</v>
      </c>
      <c r="H56" s="25">
        <v>0</v>
      </c>
      <c r="I56" s="1">
        <v>1</v>
      </c>
      <c r="J56" s="1">
        <v>1</v>
      </c>
      <c r="K56" s="9">
        <v>1.6973758257050402</v>
      </c>
      <c r="L56">
        <f t="shared" si="0"/>
        <v>1</v>
      </c>
    </row>
    <row r="57" spans="4:12" x14ac:dyDescent="0.35">
      <c r="D57" s="71"/>
      <c r="E57" s="1">
        <v>2020</v>
      </c>
      <c r="F57" s="24">
        <v>-0.35179094834453911</v>
      </c>
      <c r="G57" s="20">
        <v>0.4</v>
      </c>
      <c r="H57" s="25">
        <v>1</v>
      </c>
      <c r="I57" s="1">
        <v>1</v>
      </c>
      <c r="J57" s="1">
        <v>1</v>
      </c>
      <c r="K57" s="9">
        <v>-0.89873379157185518</v>
      </c>
      <c r="L57">
        <f t="shared" si="0"/>
        <v>0</v>
      </c>
    </row>
    <row r="58" spans="4:12" x14ac:dyDescent="0.35">
      <c r="D58" s="71"/>
      <c r="E58" s="1">
        <v>2021</v>
      </c>
      <c r="F58" s="24">
        <v>-0.15753487051959184</v>
      </c>
      <c r="G58" s="20">
        <v>0.4</v>
      </c>
      <c r="H58" s="25">
        <v>0</v>
      </c>
      <c r="I58" s="1">
        <v>1</v>
      </c>
      <c r="J58" s="1">
        <v>1</v>
      </c>
      <c r="K58" s="9">
        <v>0.23001993352048478</v>
      </c>
      <c r="L58">
        <f t="shared" si="0"/>
        <v>0</v>
      </c>
    </row>
    <row r="59" spans="4:12" x14ac:dyDescent="0.35">
      <c r="D59" s="71" t="s">
        <v>17</v>
      </c>
      <c r="E59" s="1">
        <v>2018</v>
      </c>
      <c r="F59" s="24">
        <v>0.16357254349655773</v>
      </c>
      <c r="G59" s="20">
        <v>0.5</v>
      </c>
      <c r="H59" s="25">
        <v>0</v>
      </c>
      <c r="I59" s="1">
        <v>1</v>
      </c>
      <c r="J59" s="1">
        <v>0</v>
      </c>
      <c r="K59" s="9">
        <v>1.0015035432975619E-2</v>
      </c>
      <c r="L59">
        <f t="shared" si="0"/>
        <v>0</v>
      </c>
    </row>
    <row r="60" spans="4:12" x14ac:dyDescent="0.35">
      <c r="D60" s="71"/>
      <c r="E60" s="1">
        <v>2019</v>
      </c>
      <c r="F60" s="24">
        <v>7.401170398809187E-2</v>
      </c>
      <c r="G60" s="20">
        <v>0.66666666666666663</v>
      </c>
      <c r="H60" s="25">
        <v>0</v>
      </c>
      <c r="I60" s="1">
        <v>1</v>
      </c>
      <c r="J60" s="1">
        <v>0</v>
      </c>
      <c r="K60" s="9">
        <v>-8.0471751298517954E-2</v>
      </c>
      <c r="L60">
        <f t="shared" si="0"/>
        <v>0</v>
      </c>
    </row>
    <row r="61" spans="4:12" x14ac:dyDescent="0.35">
      <c r="D61" s="71"/>
      <c r="E61" s="1">
        <v>2020</v>
      </c>
      <c r="F61" s="24">
        <v>-9.5366357812571283E-3</v>
      </c>
      <c r="G61" s="20">
        <v>0.5</v>
      </c>
      <c r="H61" s="25">
        <v>0</v>
      </c>
      <c r="I61" s="1">
        <v>1</v>
      </c>
      <c r="J61" s="1">
        <v>1</v>
      </c>
      <c r="K61" s="9">
        <v>-0.67285842576251165</v>
      </c>
      <c r="L61">
        <f t="shared" si="0"/>
        <v>0</v>
      </c>
    </row>
    <row r="62" spans="4:12" x14ac:dyDescent="0.35">
      <c r="D62" s="71"/>
      <c r="E62" s="1">
        <v>2021</v>
      </c>
      <c r="F62" s="24">
        <v>0.28736194919854807</v>
      </c>
      <c r="G62" s="20">
        <v>0.33333333333333331</v>
      </c>
      <c r="H62" s="25">
        <v>0</v>
      </c>
      <c r="I62" s="1">
        <v>1</v>
      </c>
      <c r="J62" s="1">
        <v>1</v>
      </c>
      <c r="K62" s="9">
        <v>-0.45866197410777815</v>
      </c>
      <c r="L62">
        <f t="shared" si="0"/>
        <v>0</v>
      </c>
    </row>
    <row r="63" spans="4:12" x14ac:dyDescent="0.35">
      <c r="D63" s="73" t="s">
        <v>18</v>
      </c>
      <c r="E63" s="57">
        <v>2018</v>
      </c>
      <c r="F63" s="58">
        <v>6.9739204799251983E-2</v>
      </c>
      <c r="G63" s="59">
        <v>0.5</v>
      </c>
      <c r="H63" s="56">
        <v>0</v>
      </c>
      <c r="I63" s="57">
        <v>1</v>
      </c>
      <c r="J63" s="57">
        <v>1</v>
      </c>
      <c r="K63" s="60">
        <v>1.6717618112662391</v>
      </c>
      <c r="L63" s="61">
        <f t="shared" si="0"/>
        <v>1</v>
      </c>
    </row>
    <row r="64" spans="4:12" x14ac:dyDescent="0.35">
      <c r="D64" s="73"/>
      <c r="E64" s="57">
        <v>2019</v>
      </c>
      <c r="F64" s="58">
        <v>-0.22995056848474565</v>
      </c>
      <c r="G64" s="59">
        <v>0.5</v>
      </c>
      <c r="H64" s="56">
        <v>0</v>
      </c>
      <c r="I64" s="57">
        <v>0</v>
      </c>
      <c r="J64" s="57">
        <v>0</v>
      </c>
      <c r="K64" s="60">
        <v>1.2308377170203066</v>
      </c>
      <c r="L64" s="61">
        <f t="shared" si="0"/>
        <v>1</v>
      </c>
    </row>
    <row r="65" spans="4:12" x14ac:dyDescent="0.35">
      <c r="D65" s="73"/>
      <c r="E65" s="57">
        <v>2020</v>
      </c>
      <c r="F65" s="58">
        <v>-0.20025442854202205</v>
      </c>
      <c r="G65" s="59">
        <v>0.66666666666666663</v>
      </c>
      <c r="H65" s="56">
        <v>0</v>
      </c>
      <c r="I65" s="57">
        <v>1</v>
      </c>
      <c r="J65" s="57">
        <v>1</v>
      </c>
      <c r="K65" s="60">
        <v>1.035298170467295</v>
      </c>
      <c r="L65" s="61">
        <f t="shared" si="0"/>
        <v>1</v>
      </c>
    </row>
    <row r="66" spans="4:12" x14ac:dyDescent="0.35">
      <c r="D66" s="73"/>
      <c r="E66" s="57">
        <v>2021</v>
      </c>
      <c r="F66" s="58">
        <v>-0.20328620203480161</v>
      </c>
      <c r="G66" s="59">
        <v>0.66666666666666663</v>
      </c>
      <c r="H66" s="56">
        <v>0</v>
      </c>
      <c r="I66" s="57">
        <v>0</v>
      </c>
      <c r="J66" s="57">
        <v>1</v>
      </c>
      <c r="K66" s="60">
        <v>1.1395126431895846</v>
      </c>
      <c r="L66" s="61">
        <f t="shared" si="0"/>
        <v>1</v>
      </c>
    </row>
    <row r="67" spans="4:12" x14ac:dyDescent="0.35">
      <c r="D67" s="71" t="s">
        <v>19</v>
      </c>
      <c r="E67" s="1">
        <v>2018</v>
      </c>
      <c r="F67" s="24">
        <v>6.7295661871036278E-2</v>
      </c>
      <c r="G67" s="20">
        <v>0.33333333333333331</v>
      </c>
      <c r="H67" s="25">
        <v>0</v>
      </c>
      <c r="I67" s="1">
        <v>0</v>
      </c>
      <c r="J67" s="1">
        <v>1</v>
      </c>
      <c r="K67" s="9">
        <v>-0.31487377134087557</v>
      </c>
      <c r="L67">
        <f t="shared" si="0"/>
        <v>0</v>
      </c>
    </row>
    <row r="68" spans="4:12" x14ac:dyDescent="0.35">
      <c r="D68" s="71"/>
      <c r="E68" s="1">
        <v>2019</v>
      </c>
      <c r="F68" s="24">
        <v>7.2087241142226102E-2</v>
      </c>
      <c r="G68" s="20">
        <v>0.33333333333333331</v>
      </c>
      <c r="H68" s="25">
        <v>0</v>
      </c>
      <c r="I68" s="1">
        <v>0</v>
      </c>
      <c r="J68" s="1">
        <v>1</v>
      </c>
      <c r="K68" s="9">
        <v>-0.11701845275008314</v>
      </c>
      <c r="L68">
        <f t="shared" ref="L68:L131" si="1">IF(K68&lt;1,0,1)</f>
        <v>0</v>
      </c>
    </row>
    <row r="69" spans="4:12" x14ac:dyDescent="0.35">
      <c r="D69" s="71"/>
      <c r="E69" s="1">
        <v>2020</v>
      </c>
      <c r="F69" s="24">
        <v>6.9078158269698833E-2</v>
      </c>
      <c r="G69" s="20">
        <v>0.33333333333333331</v>
      </c>
      <c r="H69" s="25">
        <v>0</v>
      </c>
      <c r="I69" s="1">
        <v>0</v>
      </c>
      <c r="J69" s="1">
        <v>0</v>
      </c>
      <c r="K69" s="9">
        <v>-0.74326404331865059</v>
      </c>
      <c r="L69">
        <f t="shared" si="1"/>
        <v>0</v>
      </c>
    </row>
    <row r="70" spans="4:12" x14ac:dyDescent="0.35">
      <c r="D70" s="71"/>
      <c r="E70" s="1">
        <v>2021</v>
      </c>
      <c r="F70" s="24">
        <v>2.5040670321382855E-2</v>
      </c>
      <c r="G70" s="20">
        <v>0.25</v>
      </c>
      <c r="H70" s="25">
        <v>0</v>
      </c>
      <c r="I70" s="1">
        <v>1</v>
      </c>
      <c r="J70" s="1">
        <v>0</v>
      </c>
      <c r="K70" s="9">
        <v>-0.14151805583431035</v>
      </c>
      <c r="L70">
        <f t="shared" si="1"/>
        <v>0</v>
      </c>
    </row>
    <row r="71" spans="4:12" x14ac:dyDescent="0.35">
      <c r="D71" s="71" t="s">
        <v>20</v>
      </c>
      <c r="E71" s="1">
        <v>2018</v>
      </c>
      <c r="F71" s="24">
        <v>9.3965208651511464E-2</v>
      </c>
      <c r="G71" s="20">
        <v>0.75</v>
      </c>
      <c r="H71" s="25">
        <v>0</v>
      </c>
      <c r="I71" s="1">
        <v>1</v>
      </c>
      <c r="J71" s="1">
        <v>1</v>
      </c>
      <c r="K71" s="9">
        <v>0.12668093552382526</v>
      </c>
      <c r="L71">
        <f t="shared" si="1"/>
        <v>0</v>
      </c>
    </row>
    <row r="72" spans="4:12" x14ac:dyDescent="0.35">
      <c r="D72" s="71"/>
      <c r="E72" s="1">
        <v>2019</v>
      </c>
      <c r="F72" s="24">
        <v>0.24665289965038448</v>
      </c>
      <c r="G72" s="20">
        <v>0.5</v>
      </c>
      <c r="H72" s="25">
        <v>0</v>
      </c>
      <c r="I72" s="1">
        <v>0</v>
      </c>
      <c r="J72" s="1">
        <v>1</v>
      </c>
      <c r="K72" s="9">
        <v>-0.30832639451758104</v>
      </c>
      <c r="L72">
        <f t="shared" si="1"/>
        <v>0</v>
      </c>
    </row>
    <row r="73" spans="4:12" x14ac:dyDescent="0.35">
      <c r="D73" s="71"/>
      <c r="E73" s="1">
        <v>2020</v>
      </c>
      <c r="F73" s="24">
        <v>3.0143201341749189E-2</v>
      </c>
      <c r="G73" s="20">
        <v>0.5</v>
      </c>
      <c r="H73" s="25">
        <v>0</v>
      </c>
      <c r="I73" s="1">
        <v>1</v>
      </c>
      <c r="J73" s="1">
        <v>0</v>
      </c>
      <c r="K73" s="9">
        <v>6.4195122700961144E-3</v>
      </c>
      <c r="L73">
        <f t="shared" si="1"/>
        <v>0</v>
      </c>
    </row>
    <row r="74" spans="4:12" x14ac:dyDescent="0.35">
      <c r="D74" s="71"/>
      <c r="E74" s="1">
        <v>2021</v>
      </c>
      <c r="F74" s="24">
        <v>0.15103908165722346</v>
      </c>
      <c r="G74" s="20">
        <v>0.66666666666666663</v>
      </c>
      <c r="H74" s="25">
        <v>1</v>
      </c>
      <c r="I74" s="1">
        <v>1</v>
      </c>
      <c r="J74" s="1">
        <v>1</v>
      </c>
      <c r="K74" s="9">
        <v>7.562614851495221E-2</v>
      </c>
      <c r="L74">
        <f t="shared" si="1"/>
        <v>0</v>
      </c>
    </row>
    <row r="75" spans="4:12" x14ac:dyDescent="0.35">
      <c r="D75" s="71" t="s">
        <v>21</v>
      </c>
      <c r="E75" s="1">
        <v>2018</v>
      </c>
      <c r="F75" s="24">
        <v>0.12994814674427368</v>
      </c>
      <c r="G75" s="20">
        <v>0.4</v>
      </c>
      <c r="H75" s="25">
        <v>0</v>
      </c>
      <c r="I75" s="1">
        <v>0</v>
      </c>
      <c r="J75" s="1">
        <v>1</v>
      </c>
      <c r="K75" s="9">
        <v>-6.330451181784913E-2</v>
      </c>
      <c r="L75">
        <f t="shared" si="1"/>
        <v>0</v>
      </c>
    </row>
    <row r="76" spans="4:12" x14ac:dyDescent="0.35">
      <c r="D76" s="71"/>
      <c r="E76" s="1">
        <v>2019</v>
      </c>
      <c r="F76" s="24">
        <v>-1.0317488519244189E-2</v>
      </c>
      <c r="G76" s="20">
        <v>0.4</v>
      </c>
      <c r="H76" s="25">
        <v>0</v>
      </c>
      <c r="I76" s="1">
        <v>0</v>
      </c>
      <c r="J76" s="1">
        <v>1</v>
      </c>
      <c r="K76" s="9">
        <v>1.1635994234355629E-2</v>
      </c>
      <c r="L76">
        <f t="shared" si="1"/>
        <v>0</v>
      </c>
    </row>
    <row r="77" spans="4:12" x14ac:dyDescent="0.35">
      <c r="D77" s="71"/>
      <c r="E77" s="1">
        <v>2020</v>
      </c>
      <c r="F77" s="24">
        <v>8.8646250202396776E-2</v>
      </c>
      <c r="G77" s="20">
        <v>0.4</v>
      </c>
      <c r="H77" s="25">
        <v>0</v>
      </c>
      <c r="I77" s="1">
        <v>1</v>
      </c>
      <c r="J77" s="1">
        <v>1</v>
      </c>
      <c r="K77" s="9">
        <v>-8.5675030902916782E-2</v>
      </c>
      <c r="L77">
        <f t="shared" si="1"/>
        <v>0</v>
      </c>
    </row>
    <row r="78" spans="4:12" x14ac:dyDescent="0.35">
      <c r="D78" s="71"/>
      <c r="E78" s="1">
        <v>2021</v>
      </c>
      <c r="F78" s="24">
        <v>8.3478581640130264E-2</v>
      </c>
      <c r="G78" s="20">
        <v>0.4</v>
      </c>
      <c r="H78" s="25">
        <v>0</v>
      </c>
      <c r="I78" s="1">
        <v>1</v>
      </c>
      <c r="J78" s="1">
        <v>1</v>
      </c>
      <c r="K78" s="9">
        <v>-8.6446482139570513E-3</v>
      </c>
      <c r="L78">
        <f t="shared" si="1"/>
        <v>0</v>
      </c>
    </row>
    <row r="79" spans="4:12" x14ac:dyDescent="0.35">
      <c r="D79" s="71" t="s">
        <v>22</v>
      </c>
      <c r="E79" s="1">
        <v>2018</v>
      </c>
      <c r="F79" s="24">
        <v>0.13963496284147192</v>
      </c>
      <c r="G79" s="20">
        <v>0.4</v>
      </c>
      <c r="H79" s="25">
        <v>0</v>
      </c>
      <c r="I79" s="1">
        <v>0</v>
      </c>
      <c r="J79" s="1">
        <v>1</v>
      </c>
      <c r="K79" s="9">
        <v>2.0225241554795131E-2</v>
      </c>
      <c r="L79">
        <f t="shared" si="1"/>
        <v>0</v>
      </c>
    </row>
    <row r="80" spans="4:12" x14ac:dyDescent="0.35">
      <c r="D80" s="71"/>
      <c r="E80" s="1">
        <v>2019</v>
      </c>
      <c r="F80" s="24">
        <v>-6.3001887212034202E-2</v>
      </c>
      <c r="G80" s="20">
        <v>0.4</v>
      </c>
      <c r="H80" s="25">
        <v>0</v>
      </c>
      <c r="I80" s="1">
        <v>1</v>
      </c>
      <c r="J80" s="1">
        <v>1</v>
      </c>
      <c r="K80" s="9">
        <v>0.15663912287405346</v>
      </c>
      <c r="L80">
        <f t="shared" si="1"/>
        <v>0</v>
      </c>
    </row>
    <row r="81" spans="4:12" x14ac:dyDescent="0.35">
      <c r="D81" s="71"/>
      <c r="E81" s="1">
        <v>2020</v>
      </c>
      <c r="F81" s="24">
        <v>-0.3611904966286511</v>
      </c>
      <c r="G81" s="20">
        <v>0.4</v>
      </c>
      <c r="H81" s="25">
        <v>0</v>
      </c>
      <c r="I81" s="1">
        <v>1</v>
      </c>
      <c r="J81" s="1">
        <v>1</v>
      </c>
      <c r="K81" s="9">
        <v>0.17418821424331787</v>
      </c>
      <c r="L81">
        <f t="shared" si="1"/>
        <v>0</v>
      </c>
    </row>
    <row r="82" spans="4:12" x14ac:dyDescent="0.35">
      <c r="D82" s="71"/>
      <c r="E82" s="1">
        <v>2021</v>
      </c>
      <c r="F82" s="24">
        <v>-2.5099447319322701E-2</v>
      </c>
      <c r="G82" s="20">
        <v>0.4</v>
      </c>
      <c r="H82" s="25">
        <v>0</v>
      </c>
      <c r="I82" s="1">
        <v>1</v>
      </c>
      <c r="J82" s="1">
        <v>1</v>
      </c>
      <c r="K82" s="9">
        <v>-0.28565132519668723</v>
      </c>
      <c r="L82">
        <f t="shared" si="1"/>
        <v>0</v>
      </c>
    </row>
    <row r="83" spans="4:12" x14ac:dyDescent="0.35">
      <c r="D83" s="70" t="s">
        <v>78</v>
      </c>
      <c r="E83" s="25">
        <v>2018</v>
      </c>
      <c r="F83" s="34">
        <v>-1.4097093222124999E-2</v>
      </c>
      <c r="G83" s="20">
        <v>0.5</v>
      </c>
      <c r="H83" s="25">
        <v>0</v>
      </c>
      <c r="I83" s="25">
        <v>0</v>
      </c>
      <c r="J83" s="25">
        <v>0</v>
      </c>
      <c r="K83" s="9">
        <v>8.2662347051236207E-2</v>
      </c>
      <c r="L83">
        <f t="shared" si="1"/>
        <v>0</v>
      </c>
    </row>
    <row r="84" spans="4:12" x14ac:dyDescent="0.35">
      <c r="D84" s="70"/>
      <c r="E84" s="25">
        <v>2019</v>
      </c>
      <c r="F84" s="34">
        <v>9.1049584836927724E-2</v>
      </c>
      <c r="G84" s="20">
        <v>0.5</v>
      </c>
      <c r="H84" s="25">
        <v>0</v>
      </c>
      <c r="I84" s="25">
        <v>0</v>
      </c>
      <c r="J84" s="25">
        <v>0</v>
      </c>
      <c r="K84" s="9">
        <v>-7.2975167134772576E-2</v>
      </c>
      <c r="L84">
        <f t="shared" si="1"/>
        <v>0</v>
      </c>
    </row>
    <row r="85" spans="4:12" x14ac:dyDescent="0.35">
      <c r="D85" s="70"/>
      <c r="E85" s="25">
        <v>2020</v>
      </c>
      <c r="F85" s="34">
        <v>-0.25747173202333801</v>
      </c>
      <c r="G85" s="20">
        <v>0.5</v>
      </c>
      <c r="H85" s="25">
        <v>0</v>
      </c>
      <c r="I85" s="25">
        <v>0</v>
      </c>
      <c r="J85" s="25">
        <v>0</v>
      </c>
      <c r="K85" s="9">
        <v>0.28223044323198576</v>
      </c>
      <c r="L85">
        <f t="shared" si="1"/>
        <v>0</v>
      </c>
    </row>
    <row r="86" spans="4:12" x14ac:dyDescent="0.35">
      <c r="D86" s="70"/>
      <c r="E86" s="25">
        <v>2021</v>
      </c>
      <c r="F86" s="34">
        <v>-4.3187761876193408E-2</v>
      </c>
      <c r="G86" s="20">
        <v>0.5</v>
      </c>
      <c r="H86" s="25">
        <v>0</v>
      </c>
      <c r="I86" s="25">
        <v>0</v>
      </c>
      <c r="J86" s="25">
        <v>0</v>
      </c>
      <c r="K86" s="9">
        <v>2.4215967616775934E-2</v>
      </c>
      <c r="L86">
        <f t="shared" si="1"/>
        <v>0</v>
      </c>
    </row>
    <row r="87" spans="4:12" x14ac:dyDescent="0.35">
      <c r="D87" s="70" t="s">
        <v>79</v>
      </c>
      <c r="E87" s="25">
        <v>2018</v>
      </c>
      <c r="F87" s="34">
        <v>-0.10145407496457329</v>
      </c>
      <c r="G87" s="20">
        <v>0.5</v>
      </c>
      <c r="H87" s="25">
        <v>0</v>
      </c>
      <c r="I87" s="25">
        <v>1</v>
      </c>
      <c r="J87" s="25">
        <v>0</v>
      </c>
      <c r="K87" s="9">
        <v>2.8679729661186357E-2</v>
      </c>
      <c r="L87">
        <f t="shared" si="1"/>
        <v>0</v>
      </c>
    </row>
    <row r="88" spans="4:12" x14ac:dyDescent="0.35">
      <c r="D88" s="70"/>
      <c r="E88" s="25">
        <v>2019</v>
      </c>
      <c r="F88" s="34">
        <v>4.8307564715847129E-2</v>
      </c>
      <c r="G88" s="20">
        <v>0.375</v>
      </c>
      <c r="H88" s="25">
        <v>0</v>
      </c>
      <c r="I88" s="25">
        <v>1</v>
      </c>
      <c r="J88" s="25">
        <v>0</v>
      </c>
      <c r="K88" s="9">
        <v>-0.266470152370818</v>
      </c>
      <c r="L88">
        <f t="shared" si="1"/>
        <v>0</v>
      </c>
    </row>
    <row r="89" spans="4:12" x14ac:dyDescent="0.35">
      <c r="D89" s="70"/>
      <c r="E89" s="25">
        <v>2020</v>
      </c>
      <c r="F89" s="34">
        <v>-0.20272101377551846</v>
      </c>
      <c r="G89" s="20">
        <v>0.375</v>
      </c>
      <c r="H89" s="25">
        <v>1</v>
      </c>
      <c r="I89" s="25">
        <v>1</v>
      </c>
      <c r="J89" s="25">
        <v>0</v>
      </c>
      <c r="K89" s="9">
        <v>0.98193671363237534</v>
      </c>
      <c r="L89">
        <f t="shared" si="1"/>
        <v>0</v>
      </c>
    </row>
    <row r="90" spans="4:12" x14ac:dyDescent="0.35">
      <c r="D90" s="70"/>
      <c r="E90" s="25">
        <v>2021</v>
      </c>
      <c r="F90" s="34">
        <v>0.11605280244039368</v>
      </c>
      <c r="G90" s="20">
        <v>0.625</v>
      </c>
      <c r="H90" s="25">
        <v>0</v>
      </c>
      <c r="I90" s="25">
        <v>1</v>
      </c>
      <c r="J90" s="25">
        <v>0</v>
      </c>
      <c r="K90" s="9">
        <v>-0.60541299112469327</v>
      </c>
      <c r="L90">
        <f t="shared" si="1"/>
        <v>0</v>
      </c>
    </row>
    <row r="91" spans="4:12" x14ac:dyDescent="0.35">
      <c r="D91" s="70" t="s">
        <v>80</v>
      </c>
      <c r="E91" s="25">
        <v>2018</v>
      </c>
      <c r="F91" s="34">
        <v>2.328977281723912E-2</v>
      </c>
      <c r="G91" s="20">
        <v>0.5</v>
      </c>
      <c r="H91" s="25">
        <v>0</v>
      </c>
      <c r="I91" s="25">
        <v>0</v>
      </c>
      <c r="J91" s="25">
        <v>0</v>
      </c>
      <c r="K91" s="9">
        <v>-4.6262083502291308E-2</v>
      </c>
      <c r="L91">
        <f t="shared" si="1"/>
        <v>0</v>
      </c>
    </row>
    <row r="92" spans="4:12" x14ac:dyDescent="0.35">
      <c r="D92" s="70"/>
      <c r="E92" s="25">
        <v>2019</v>
      </c>
      <c r="F92" s="34">
        <v>6.6743910438764362E-2</v>
      </c>
      <c r="G92" s="20">
        <v>0.5</v>
      </c>
      <c r="H92" s="25">
        <v>0</v>
      </c>
      <c r="I92" s="25">
        <v>0</v>
      </c>
      <c r="J92" s="25">
        <v>0</v>
      </c>
      <c r="K92" s="9">
        <v>-1.5668382489753292E-2</v>
      </c>
      <c r="L92">
        <f t="shared" si="1"/>
        <v>0</v>
      </c>
    </row>
    <row r="93" spans="4:12" x14ac:dyDescent="0.35">
      <c r="D93" s="70"/>
      <c r="E93" s="25">
        <v>2020</v>
      </c>
      <c r="F93" s="34">
        <v>9.7636829205194745E-2</v>
      </c>
      <c r="G93" s="20">
        <v>0.5</v>
      </c>
      <c r="H93" s="25">
        <v>0</v>
      </c>
      <c r="I93" s="25">
        <v>0</v>
      </c>
      <c r="J93" s="25">
        <v>0</v>
      </c>
      <c r="K93" s="9">
        <v>0.15277164951810757</v>
      </c>
      <c r="L93">
        <f t="shared" si="1"/>
        <v>0</v>
      </c>
    </row>
    <row r="94" spans="4:12" x14ac:dyDescent="0.35">
      <c r="D94" s="70"/>
      <c r="E94" s="25">
        <v>2021</v>
      </c>
      <c r="F94" s="34">
        <v>0.12877320538123577</v>
      </c>
      <c r="G94" s="20">
        <v>0.5</v>
      </c>
      <c r="H94" s="25">
        <v>0</v>
      </c>
      <c r="I94" s="25">
        <v>0</v>
      </c>
      <c r="J94" s="25">
        <v>0</v>
      </c>
      <c r="K94" s="9">
        <v>1.6759696396616577E-2</v>
      </c>
      <c r="L94">
        <f t="shared" si="1"/>
        <v>0</v>
      </c>
    </row>
    <row r="95" spans="4:12" x14ac:dyDescent="0.35">
      <c r="D95" s="70" t="s">
        <v>81</v>
      </c>
      <c r="E95" s="25">
        <v>2018</v>
      </c>
      <c r="F95" s="34">
        <v>0.15029596025824313</v>
      </c>
      <c r="G95" s="20">
        <v>0.625</v>
      </c>
      <c r="H95" s="25">
        <v>0</v>
      </c>
      <c r="I95" s="25">
        <v>1</v>
      </c>
      <c r="J95" s="25">
        <v>0</v>
      </c>
      <c r="K95" s="9">
        <v>-5.7928705400468516E-2</v>
      </c>
      <c r="L95">
        <f t="shared" si="1"/>
        <v>0</v>
      </c>
    </row>
    <row r="96" spans="4:12" x14ac:dyDescent="0.35">
      <c r="D96" s="70"/>
      <c r="E96" s="25">
        <v>2019</v>
      </c>
      <c r="F96" s="34">
        <v>9.2420931340080753E-2</v>
      </c>
      <c r="G96" s="20">
        <v>0.5</v>
      </c>
      <c r="H96" s="25">
        <v>0</v>
      </c>
      <c r="I96" s="25">
        <v>1</v>
      </c>
      <c r="J96" s="25">
        <v>0</v>
      </c>
      <c r="K96" s="9">
        <v>3.0793908511200067E-2</v>
      </c>
      <c r="L96">
        <f t="shared" si="1"/>
        <v>0</v>
      </c>
    </row>
    <row r="97" spans="4:12" x14ac:dyDescent="0.35">
      <c r="D97" s="70"/>
      <c r="E97" s="25">
        <v>2020</v>
      </c>
      <c r="F97" s="34">
        <v>0.13644277243401565</v>
      </c>
      <c r="G97" s="20">
        <v>0.625</v>
      </c>
      <c r="H97" s="25">
        <v>0</v>
      </c>
      <c r="I97" s="25">
        <v>0</v>
      </c>
      <c r="J97" s="25">
        <v>0</v>
      </c>
      <c r="K97" s="9">
        <v>-2.3469881373454772E-2</v>
      </c>
      <c r="L97">
        <f t="shared" si="1"/>
        <v>0</v>
      </c>
    </row>
    <row r="98" spans="4:12" x14ac:dyDescent="0.35">
      <c r="D98" s="70"/>
      <c r="E98" s="25">
        <v>2021</v>
      </c>
      <c r="F98" s="34">
        <v>4.2254427904759619E-2</v>
      </c>
      <c r="G98" s="20">
        <v>0.5</v>
      </c>
      <c r="H98" s="25">
        <v>0</v>
      </c>
      <c r="I98" s="25">
        <v>1</v>
      </c>
      <c r="J98" s="25">
        <v>0</v>
      </c>
      <c r="K98" s="9">
        <v>0.20528693065296469</v>
      </c>
      <c r="L98">
        <f t="shared" si="1"/>
        <v>0</v>
      </c>
    </row>
    <row r="99" spans="4:12" x14ac:dyDescent="0.35">
      <c r="D99" s="70" t="s">
        <v>82</v>
      </c>
      <c r="E99" s="25">
        <v>2018</v>
      </c>
      <c r="F99" s="34">
        <v>-9.4122910094783518E-2</v>
      </c>
      <c r="G99" s="20">
        <v>0.5</v>
      </c>
      <c r="H99" s="25">
        <v>0</v>
      </c>
      <c r="I99" s="25">
        <v>1</v>
      </c>
      <c r="J99" s="25">
        <v>0</v>
      </c>
      <c r="K99" s="9">
        <v>-4.0151410810867857E-2</v>
      </c>
      <c r="L99">
        <f t="shared" si="1"/>
        <v>0</v>
      </c>
    </row>
    <row r="100" spans="4:12" x14ac:dyDescent="0.35">
      <c r="D100" s="70"/>
      <c r="E100" s="25">
        <v>2019</v>
      </c>
      <c r="F100" s="34">
        <v>0.13013691012719683</v>
      </c>
      <c r="G100" s="20">
        <v>0.5</v>
      </c>
      <c r="H100" s="25">
        <v>1</v>
      </c>
      <c r="I100" s="25">
        <v>1</v>
      </c>
      <c r="J100" s="25">
        <v>0</v>
      </c>
      <c r="K100" s="9">
        <v>0.303715396826015</v>
      </c>
      <c r="L100">
        <f t="shared" si="1"/>
        <v>0</v>
      </c>
    </row>
    <row r="101" spans="4:12" x14ac:dyDescent="0.35">
      <c r="D101" s="70"/>
      <c r="E101" s="25">
        <v>2020</v>
      </c>
      <c r="F101" s="34">
        <v>5.8080632526956721E-2</v>
      </c>
      <c r="G101" s="20">
        <v>0.5</v>
      </c>
      <c r="H101" s="25">
        <v>0</v>
      </c>
      <c r="I101" s="25">
        <v>1</v>
      </c>
      <c r="J101" s="25">
        <v>0</v>
      </c>
      <c r="K101" s="9">
        <v>-0.61679996399598047</v>
      </c>
      <c r="L101">
        <f t="shared" si="1"/>
        <v>0</v>
      </c>
    </row>
    <row r="102" spans="4:12" x14ac:dyDescent="0.35">
      <c r="D102" s="70"/>
      <c r="E102" s="25">
        <v>2021</v>
      </c>
      <c r="F102" s="34">
        <v>1.0913355946103624</v>
      </c>
      <c r="G102" s="20">
        <v>0.75</v>
      </c>
      <c r="H102" s="25">
        <v>1</v>
      </c>
      <c r="I102" s="25">
        <v>1</v>
      </c>
      <c r="J102" s="25">
        <v>0</v>
      </c>
      <c r="K102" s="9">
        <v>-2.64852748114488E-2</v>
      </c>
      <c r="L102">
        <f t="shared" si="1"/>
        <v>0</v>
      </c>
    </row>
    <row r="103" spans="4:12" x14ac:dyDescent="0.35">
      <c r="D103" s="70" t="s">
        <v>83</v>
      </c>
      <c r="E103" s="25">
        <v>2018</v>
      </c>
      <c r="F103" s="34">
        <v>0.23398920068068049</v>
      </c>
      <c r="G103" s="20">
        <v>0.5</v>
      </c>
      <c r="H103" s="25">
        <v>0</v>
      </c>
      <c r="I103" s="25">
        <v>0</v>
      </c>
      <c r="J103" s="25">
        <v>0</v>
      </c>
      <c r="K103" s="9">
        <v>-0.18491868108161691</v>
      </c>
      <c r="L103">
        <f t="shared" si="1"/>
        <v>0</v>
      </c>
    </row>
    <row r="104" spans="4:12" x14ac:dyDescent="0.35">
      <c r="D104" s="70"/>
      <c r="E104" s="25">
        <v>2019</v>
      </c>
      <c r="F104" s="34">
        <v>0.36538438586322258</v>
      </c>
      <c r="G104" s="20">
        <v>0.4</v>
      </c>
      <c r="H104" s="25">
        <v>0</v>
      </c>
      <c r="I104" s="25">
        <v>1</v>
      </c>
      <c r="J104" s="25">
        <v>0</v>
      </c>
      <c r="K104" s="9">
        <v>-0.32717283351510967</v>
      </c>
      <c r="L104">
        <f t="shared" si="1"/>
        <v>0</v>
      </c>
    </row>
    <row r="105" spans="4:12" x14ac:dyDescent="0.35">
      <c r="D105" s="70"/>
      <c r="E105" s="25">
        <v>2020</v>
      </c>
      <c r="F105" s="34">
        <v>0.60338220240121054</v>
      </c>
      <c r="G105" s="20">
        <v>0.66666666666666663</v>
      </c>
      <c r="H105" s="25">
        <v>0</v>
      </c>
      <c r="I105" s="25">
        <v>1</v>
      </c>
      <c r="J105" s="25">
        <v>0</v>
      </c>
      <c r="K105" s="9">
        <v>-0.24545456836034071</v>
      </c>
      <c r="L105">
        <f t="shared" si="1"/>
        <v>0</v>
      </c>
    </row>
    <row r="106" spans="4:12" x14ac:dyDescent="0.35">
      <c r="D106" s="70"/>
      <c r="E106" s="25">
        <v>2021</v>
      </c>
      <c r="F106" s="34">
        <v>0.78435791333760385</v>
      </c>
      <c r="G106" s="20">
        <v>0.66666666666666663</v>
      </c>
      <c r="H106" s="25">
        <v>0</v>
      </c>
      <c r="I106" s="25">
        <v>1</v>
      </c>
      <c r="J106" s="25">
        <v>0</v>
      </c>
      <c r="K106" s="9">
        <v>-0.29466853626634892</v>
      </c>
      <c r="L106">
        <f t="shared" si="1"/>
        <v>0</v>
      </c>
    </row>
    <row r="107" spans="4:12" x14ac:dyDescent="0.35">
      <c r="D107" s="70" t="s">
        <v>84</v>
      </c>
      <c r="E107" s="25">
        <v>2018</v>
      </c>
      <c r="F107" s="34">
        <v>0.21682540130521064</v>
      </c>
      <c r="G107" s="20">
        <v>0.5</v>
      </c>
      <c r="H107" s="25">
        <v>0</v>
      </c>
      <c r="I107" s="25">
        <v>1</v>
      </c>
      <c r="J107" s="25">
        <v>0</v>
      </c>
      <c r="K107" s="9">
        <v>-0.16574754520733309</v>
      </c>
      <c r="L107">
        <f t="shared" si="1"/>
        <v>0</v>
      </c>
    </row>
    <row r="108" spans="4:12" x14ac:dyDescent="0.35">
      <c r="D108" s="70"/>
      <c r="E108" s="25">
        <v>2019</v>
      </c>
      <c r="F108" s="34">
        <v>0.22439612246578425</v>
      </c>
      <c r="G108" s="20">
        <v>0.5</v>
      </c>
      <c r="H108" s="25">
        <v>0</v>
      </c>
      <c r="I108" s="25">
        <v>1</v>
      </c>
      <c r="J108" s="25">
        <v>0</v>
      </c>
      <c r="K108" s="9">
        <v>-0.17413980728791884</v>
      </c>
      <c r="L108">
        <f t="shared" si="1"/>
        <v>0</v>
      </c>
    </row>
    <row r="109" spans="4:12" x14ac:dyDescent="0.35">
      <c r="D109" s="70"/>
      <c r="E109" s="25">
        <v>2020</v>
      </c>
      <c r="F109" s="34">
        <v>8.9414651795481637E-2</v>
      </c>
      <c r="G109" s="20">
        <v>0.5</v>
      </c>
      <c r="H109" s="25">
        <v>1</v>
      </c>
      <c r="I109" s="25">
        <v>1</v>
      </c>
      <c r="J109" s="25">
        <v>0</v>
      </c>
      <c r="K109" s="9">
        <v>-0.14547991690115319</v>
      </c>
      <c r="L109">
        <f t="shared" si="1"/>
        <v>0</v>
      </c>
    </row>
    <row r="110" spans="4:12" x14ac:dyDescent="0.35">
      <c r="D110" s="70"/>
      <c r="E110" s="25">
        <v>2021</v>
      </c>
      <c r="F110" s="34">
        <v>0.2045442488668785</v>
      </c>
      <c r="G110" s="20">
        <v>0.66666666666666663</v>
      </c>
      <c r="H110" s="25">
        <v>0</v>
      </c>
      <c r="I110" s="25">
        <v>1</v>
      </c>
      <c r="J110" s="25">
        <v>0</v>
      </c>
      <c r="K110" s="9">
        <v>0.11512336096553857</v>
      </c>
      <c r="L110">
        <f t="shared" si="1"/>
        <v>0</v>
      </c>
    </row>
    <row r="111" spans="4:12" x14ac:dyDescent="0.35">
      <c r="D111" s="70" t="s">
        <v>85</v>
      </c>
      <c r="E111" s="25">
        <v>2018</v>
      </c>
      <c r="F111" s="34">
        <v>6.8952777271270249E-2</v>
      </c>
      <c r="G111" s="20">
        <v>0.5</v>
      </c>
      <c r="H111" s="25">
        <v>0</v>
      </c>
      <c r="I111" s="25">
        <v>1</v>
      </c>
      <c r="J111" s="25">
        <v>0</v>
      </c>
      <c r="K111" s="9">
        <v>9.3648137123114941E-3</v>
      </c>
      <c r="L111">
        <f t="shared" si="1"/>
        <v>0</v>
      </c>
    </row>
    <row r="112" spans="4:12" x14ac:dyDescent="0.35">
      <c r="D112" s="70"/>
      <c r="E112" s="25">
        <v>2019</v>
      </c>
      <c r="F112" s="34">
        <v>9.6480797645422944E-2</v>
      </c>
      <c r="G112" s="20">
        <v>0.5</v>
      </c>
      <c r="H112" s="25">
        <v>0</v>
      </c>
      <c r="I112" s="25">
        <v>1</v>
      </c>
      <c r="J112" s="25">
        <v>0</v>
      </c>
      <c r="K112" s="9">
        <v>-2.0168994243890473E-3</v>
      </c>
      <c r="L112">
        <f t="shared" si="1"/>
        <v>0</v>
      </c>
    </row>
    <row r="113" spans="4:12" x14ac:dyDescent="0.35">
      <c r="D113" s="70"/>
      <c r="E113" s="25">
        <v>2020</v>
      </c>
      <c r="F113" s="34">
        <v>8.4269643730888882E-2</v>
      </c>
      <c r="G113" s="20">
        <v>0.5</v>
      </c>
      <c r="H113" s="25">
        <v>0</v>
      </c>
      <c r="I113" s="25">
        <v>1</v>
      </c>
      <c r="J113" s="25">
        <v>0</v>
      </c>
      <c r="K113" s="9">
        <v>-0.16771853114999344</v>
      </c>
      <c r="L113">
        <f t="shared" si="1"/>
        <v>0</v>
      </c>
    </row>
    <row r="114" spans="4:12" x14ac:dyDescent="0.35">
      <c r="D114" s="70"/>
      <c r="E114" s="25">
        <v>2021</v>
      </c>
      <c r="F114" s="34">
        <v>0.20728293294293737</v>
      </c>
      <c r="G114" s="20">
        <v>0.5</v>
      </c>
      <c r="H114" s="25">
        <v>1</v>
      </c>
      <c r="I114" s="25">
        <v>1</v>
      </c>
      <c r="J114" s="25">
        <v>0</v>
      </c>
      <c r="K114" s="9">
        <v>0.15649696631146029</v>
      </c>
      <c r="L114">
        <f t="shared" si="1"/>
        <v>0</v>
      </c>
    </row>
    <row r="115" spans="4:12" x14ac:dyDescent="0.35">
      <c r="D115" s="70" t="s">
        <v>86</v>
      </c>
      <c r="E115" s="25">
        <v>2018</v>
      </c>
      <c r="F115" s="34">
        <v>4.0286404937595749E-2</v>
      </c>
      <c r="G115" s="20">
        <v>0.66666666666666663</v>
      </c>
      <c r="H115" s="25">
        <v>0</v>
      </c>
      <c r="I115" s="25">
        <v>0</v>
      </c>
      <c r="J115" s="25">
        <v>0</v>
      </c>
      <c r="K115" s="9">
        <v>-3.4700160554127592E-2</v>
      </c>
      <c r="L115">
        <f t="shared" si="1"/>
        <v>0</v>
      </c>
    </row>
    <row r="116" spans="4:12" x14ac:dyDescent="0.35">
      <c r="D116" s="70"/>
      <c r="E116" s="25">
        <v>2019</v>
      </c>
      <c r="F116" s="34">
        <v>4.2533728454683006E-2</v>
      </c>
      <c r="G116" s="20">
        <v>0.66666666666666663</v>
      </c>
      <c r="H116" s="25">
        <v>1</v>
      </c>
      <c r="I116" s="25">
        <v>0</v>
      </c>
      <c r="J116" s="25">
        <v>0</v>
      </c>
      <c r="K116" s="9">
        <v>-0.17288308531618823</v>
      </c>
      <c r="L116">
        <f t="shared" si="1"/>
        <v>0</v>
      </c>
    </row>
    <row r="117" spans="4:12" x14ac:dyDescent="0.35">
      <c r="D117" s="70"/>
      <c r="E117" s="25">
        <v>2020</v>
      </c>
      <c r="F117" s="34">
        <v>3.9263893436195492E-3</v>
      </c>
      <c r="G117" s="20">
        <v>0.66666666666666663</v>
      </c>
      <c r="H117" s="25">
        <v>0</v>
      </c>
      <c r="I117" s="25">
        <v>0</v>
      </c>
      <c r="J117" s="25">
        <v>0</v>
      </c>
      <c r="K117" s="9">
        <v>-3.9073688540409983E-2</v>
      </c>
      <c r="L117">
        <f t="shared" si="1"/>
        <v>0</v>
      </c>
    </row>
    <row r="118" spans="4:12" x14ac:dyDescent="0.35">
      <c r="D118" s="70"/>
      <c r="E118" s="25">
        <v>2021</v>
      </c>
      <c r="F118" s="34">
        <v>0.13472971853754989</v>
      </c>
      <c r="G118" s="20">
        <v>0.66666666666666663</v>
      </c>
      <c r="H118" s="25">
        <v>0</v>
      </c>
      <c r="I118" s="25">
        <v>1</v>
      </c>
      <c r="J118" s="25">
        <v>0</v>
      </c>
      <c r="K118" s="9">
        <v>0.13610570692672269</v>
      </c>
      <c r="L118">
        <f t="shared" si="1"/>
        <v>0</v>
      </c>
    </row>
    <row r="119" spans="4:12" x14ac:dyDescent="0.35">
      <c r="D119" s="70" t="s">
        <v>87</v>
      </c>
      <c r="E119" s="25">
        <v>2018</v>
      </c>
      <c r="F119" s="34">
        <v>0.42830680889181438</v>
      </c>
      <c r="G119" s="20">
        <v>0.75</v>
      </c>
      <c r="H119" s="25">
        <v>0</v>
      </c>
      <c r="I119" s="25">
        <v>1</v>
      </c>
      <c r="J119" s="25">
        <v>0</v>
      </c>
      <c r="K119" s="9">
        <v>-0.25475727416551808</v>
      </c>
      <c r="L119">
        <f t="shared" si="1"/>
        <v>0</v>
      </c>
    </row>
    <row r="120" spans="4:12" x14ac:dyDescent="0.35">
      <c r="D120" s="70"/>
      <c r="E120" s="25">
        <v>2019</v>
      </c>
      <c r="F120" s="34">
        <v>0.1610321952051175</v>
      </c>
      <c r="G120" s="20">
        <v>0.66666666666666663</v>
      </c>
      <c r="H120" s="25">
        <v>0</v>
      </c>
      <c r="I120" s="25">
        <v>1</v>
      </c>
      <c r="J120" s="25">
        <v>0</v>
      </c>
      <c r="K120" s="9">
        <v>0.10801819528530361</v>
      </c>
      <c r="L120">
        <f t="shared" si="1"/>
        <v>0</v>
      </c>
    </row>
    <row r="121" spans="4:12" x14ac:dyDescent="0.35">
      <c r="D121" s="70"/>
      <c r="E121" s="25">
        <v>2020</v>
      </c>
      <c r="F121" s="34">
        <v>3.5007095043111523E-2</v>
      </c>
      <c r="G121" s="20">
        <v>0.5</v>
      </c>
      <c r="H121" s="25">
        <v>0</v>
      </c>
      <c r="I121" s="25">
        <v>1</v>
      </c>
      <c r="J121" s="25">
        <v>0</v>
      </c>
      <c r="K121" s="9">
        <v>-0.17244867336642056</v>
      </c>
      <c r="L121">
        <f t="shared" si="1"/>
        <v>0</v>
      </c>
    </row>
    <row r="122" spans="4:12" x14ac:dyDescent="0.35">
      <c r="D122" s="70"/>
      <c r="E122" s="25">
        <v>2021</v>
      </c>
      <c r="F122" s="34">
        <v>-0.39795729815257885</v>
      </c>
      <c r="G122" s="20">
        <v>0.6</v>
      </c>
      <c r="H122" s="25">
        <v>0</v>
      </c>
      <c r="I122" s="25">
        <v>1</v>
      </c>
      <c r="J122" s="25">
        <v>0</v>
      </c>
      <c r="K122" s="9">
        <v>0.96557176215118901</v>
      </c>
      <c r="L122">
        <f t="shared" si="1"/>
        <v>0</v>
      </c>
    </row>
    <row r="123" spans="4:12" x14ac:dyDescent="0.35">
      <c r="D123" s="70" t="s">
        <v>88</v>
      </c>
      <c r="E123" s="25">
        <v>2018</v>
      </c>
      <c r="F123" s="34">
        <v>1.1336110899333965E-2</v>
      </c>
      <c r="G123" s="20">
        <v>0.66666666666666663</v>
      </c>
      <c r="H123" s="25">
        <v>0</v>
      </c>
      <c r="I123" s="25">
        <v>1</v>
      </c>
      <c r="J123" s="25">
        <v>0</v>
      </c>
      <c r="K123" s="9">
        <v>6.0659014290554945E-2</v>
      </c>
      <c r="L123">
        <f t="shared" si="1"/>
        <v>0</v>
      </c>
    </row>
    <row r="124" spans="4:12" x14ac:dyDescent="0.35">
      <c r="D124" s="70"/>
      <c r="E124" s="25">
        <v>2019</v>
      </c>
      <c r="F124" s="34">
        <v>0.18897729214417944</v>
      </c>
      <c r="G124" s="20">
        <v>0.66666666666666663</v>
      </c>
      <c r="H124" s="25">
        <v>0</v>
      </c>
      <c r="I124" s="25">
        <v>0</v>
      </c>
      <c r="J124" s="25">
        <v>0</v>
      </c>
      <c r="K124" s="9">
        <v>0.18786466272777766</v>
      </c>
      <c r="L124">
        <f t="shared" si="1"/>
        <v>0</v>
      </c>
    </row>
    <row r="125" spans="4:12" x14ac:dyDescent="0.35">
      <c r="D125" s="70"/>
      <c r="E125" s="25">
        <v>2020</v>
      </c>
      <c r="F125" s="34">
        <v>0.22025675038285475</v>
      </c>
      <c r="G125" s="20">
        <v>0.66666666666666663</v>
      </c>
      <c r="H125" s="25">
        <v>0</v>
      </c>
      <c r="I125" s="25">
        <v>0</v>
      </c>
      <c r="J125" s="25">
        <v>0</v>
      </c>
      <c r="K125" s="9">
        <v>-8.9692004529139724E-2</v>
      </c>
      <c r="L125">
        <f t="shared" si="1"/>
        <v>0</v>
      </c>
    </row>
    <row r="126" spans="4:12" x14ac:dyDescent="0.35">
      <c r="D126" s="70"/>
      <c r="E126" s="25">
        <v>2021</v>
      </c>
      <c r="F126" s="34">
        <v>0.17159386215090566</v>
      </c>
      <c r="G126" s="20">
        <v>0.66666666666666663</v>
      </c>
      <c r="H126" s="25">
        <v>0</v>
      </c>
      <c r="I126" s="25">
        <v>0</v>
      </c>
      <c r="J126" s="25">
        <v>0</v>
      </c>
      <c r="K126" s="9">
        <v>-5.3048580590567843E-2</v>
      </c>
      <c r="L126">
        <f t="shared" si="1"/>
        <v>0</v>
      </c>
    </row>
    <row r="127" spans="4:12" x14ac:dyDescent="0.35">
      <c r="D127" s="70" t="s">
        <v>89</v>
      </c>
      <c r="E127" s="25">
        <v>2018</v>
      </c>
      <c r="F127" s="34">
        <v>-6.1377700760211845E-2</v>
      </c>
      <c r="G127" s="20">
        <v>0.42857142857142855</v>
      </c>
      <c r="H127" s="25">
        <v>0</v>
      </c>
      <c r="I127" s="25">
        <v>1</v>
      </c>
      <c r="J127" s="25">
        <v>0</v>
      </c>
      <c r="K127" s="9">
        <v>0.14875669904304797</v>
      </c>
      <c r="L127">
        <f t="shared" si="1"/>
        <v>0</v>
      </c>
    </row>
    <row r="128" spans="4:12" x14ac:dyDescent="0.35">
      <c r="D128" s="70"/>
      <c r="E128" s="25">
        <v>2019</v>
      </c>
      <c r="F128" s="34">
        <v>-1.8948835259134343E-2</v>
      </c>
      <c r="G128" s="20">
        <v>0.6</v>
      </c>
      <c r="H128" s="25">
        <v>0</v>
      </c>
      <c r="I128" s="25">
        <v>1</v>
      </c>
      <c r="J128" s="25">
        <v>0</v>
      </c>
      <c r="K128" s="9">
        <v>-0.1691676283324911</v>
      </c>
      <c r="L128">
        <f t="shared" si="1"/>
        <v>0</v>
      </c>
    </row>
    <row r="129" spans="4:12" x14ac:dyDescent="0.35">
      <c r="D129" s="70"/>
      <c r="E129" s="25">
        <v>2020</v>
      </c>
      <c r="F129" s="34">
        <v>0.19563355706658939</v>
      </c>
      <c r="G129" s="20">
        <v>0.6</v>
      </c>
      <c r="H129" s="25">
        <v>0</v>
      </c>
      <c r="I129" s="25">
        <v>0</v>
      </c>
      <c r="J129" s="25">
        <v>0</v>
      </c>
      <c r="K129" s="9">
        <v>-0.56378993956984613</v>
      </c>
      <c r="L129">
        <f t="shared" si="1"/>
        <v>0</v>
      </c>
    </row>
    <row r="130" spans="4:12" x14ac:dyDescent="0.35">
      <c r="D130" s="70"/>
      <c r="E130" s="25">
        <v>2021</v>
      </c>
      <c r="F130" s="34">
        <v>-0.14410685765846687</v>
      </c>
      <c r="G130" s="20">
        <v>0.6</v>
      </c>
      <c r="H130" s="25">
        <v>0</v>
      </c>
      <c r="I130" s="25">
        <v>1</v>
      </c>
      <c r="J130" s="25">
        <v>0</v>
      </c>
      <c r="K130" s="9">
        <v>0.5310851932033227</v>
      </c>
      <c r="L130">
        <f t="shared" si="1"/>
        <v>0</v>
      </c>
    </row>
    <row r="131" spans="4:12" x14ac:dyDescent="0.35">
      <c r="D131" s="70" t="s">
        <v>90</v>
      </c>
      <c r="E131" s="25">
        <v>2018</v>
      </c>
      <c r="F131" s="34">
        <v>1.7800598101923751E-2</v>
      </c>
      <c r="G131" s="20">
        <v>0.5</v>
      </c>
      <c r="H131" s="25">
        <v>0</v>
      </c>
      <c r="I131" s="25">
        <v>1</v>
      </c>
      <c r="J131" s="25">
        <v>0</v>
      </c>
      <c r="K131" s="9">
        <v>-0.1114154678215236</v>
      </c>
      <c r="L131">
        <f t="shared" si="1"/>
        <v>0</v>
      </c>
    </row>
    <row r="132" spans="4:12" x14ac:dyDescent="0.35">
      <c r="D132" s="70"/>
      <c r="E132" s="25">
        <v>2019</v>
      </c>
      <c r="F132" s="34">
        <v>0.20345617328422622</v>
      </c>
      <c r="G132" s="20">
        <v>0.6</v>
      </c>
      <c r="H132" s="25">
        <v>1</v>
      </c>
      <c r="I132" s="25">
        <v>1</v>
      </c>
      <c r="J132" s="25">
        <v>0</v>
      </c>
      <c r="K132" s="9">
        <v>-0.16605554520209276</v>
      </c>
      <c r="L132">
        <f t="shared" ref="L132:L142" si="2">IF(K132&lt;1,0,1)</f>
        <v>0</v>
      </c>
    </row>
    <row r="133" spans="4:12" x14ac:dyDescent="0.35">
      <c r="D133" s="70"/>
      <c r="E133" s="25">
        <v>2020</v>
      </c>
      <c r="F133" s="34">
        <v>0.11307925390256249</v>
      </c>
      <c r="G133" s="20">
        <v>0.6</v>
      </c>
      <c r="H133" s="25">
        <v>0</v>
      </c>
      <c r="I133" s="25">
        <v>0</v>
      </c>
      <c r="J133" s="25">
        <v>0</v>
      </c>
      <c r="K133" s="9">
        <v>0.1410796902038487</v>
      </c>
      <c r="L133">
        <f t="shared" si="2"/>
        <v>0</v>
      </c>
    </row>
    <row r="134" spans="4:12" x14ac:dyDescent="0.35">
      <c r="D134" s="70"/>
      <c r="E134" s="25">
        <v>2021</v>
      </c>
      <c r="F134" s="34">
        <v>0.18428028613548023</v>
      </c>
      <c r="G134" s="20">
        <v>0.6</v>
      </c>
      <c r="H134" s="25">
        <v>0</v>
      </c>
      <c r="I134" s="25">
        <v>0</v>
      </c>
      <c r="J134" s="25">
        <v>0</v>
      </c>
      <c r="K134" s="9">
        <v>-0.1046467303224581</v>
      </c>
      <c r="L134">
        <f t="shared" si="2"/>
        <v>0</v>
      </c>
    </row>
    <row r="135" spans="4:12" x14ac:dyDescent="0.35">
      <c r="D135" s="70" t="s">
        <v>91</v>
      </c>
      <c r="E135" s="25">
        <v>2018</v>
      </c>
      <c r="F135" s="34">
        <v>-0.1864432905669052</v>
      </c>
      <c r="G135" s="20">
        <v>0.75</v>
      </c>
      <c r="H135" s="25">
        <v>0</v>
      </c>
      <c r="I135" s="25">
        <v>1</v>
      </c>
      <c r="J135" s="25">
        <v>0</v>
      </c>
      <c r="K135" s="9">
        <v>0.35372747724723924</v>
      </c>
      <c r="L135">
        <f t="shared" si="2"/>
        <v>0</v>
      </c>
    </row>
    <row r="136" spans="4:12" x14ac:dyDescent="0.35">
      <c r="D136" s="70"/>
      <c r="E136" s="25">
        <v>2019</v>
      </c>
      <c r="F136" s="34">
        <v>0.23573875974528929</v>
      </c>
      <c r="G136" s="20">
        <v>0.66666666666666663</v>
      </c>
      <c r="H136" s="25">
        <v>0</v>
      </c>
      <c r="I136" s="25">
        <v>1</v>
      </c>
      <c r="J136" s="25">
        <v>0</v>
      </c>
      <c r="K136" s="9">
        <v>0.35770262127562469</v>
      </c>
      <c r="L136">
        <f t="shared" si="2"/>
        <v>0</v>
      </c>
    </row>
    <row r="137" spans="4:12" x14ac:dyDescent="0.35">
      <c r="D137" s="70"/>
      <c r="E137" s="25">
        <v>2020</v>
      </c>
      <c r="F137" s="34">
        <v>-0.12265565143095526</v>
      </c>
      <c r="G137" s="20">
        <v>0.66666666666666663</v>
      </c>
      <c r="H137" s="25">
        <v>0</v>
      </c>
      <c r="I137" s="25">
        <v>0</v>
      </c>
      <c r="J137" s="25">
        <v>0</v>
      </c>
      <c r="K137" s="9">
        <v>4.1822649492916766E-2</v>
      </c>
      <c r="L137">
        <f t="shared" si="2"/>
        <v>0</v>
      </c>
    </row>
    <row r="138" spans="4:12" x14ac:dyDescent="0.35">
      <c r="D138" s="70"/>
      <c r="E138" s="25">
        <v>2021</v>
      </c>
      <c r="F138" s="34">
        <v>-0.32003826172337896</v>
      </c>
      <c r="G138" s="20">
        <v>0.66666666666666663</v>
      </c>
      <c r="H138" s="25">
        <v>0</v>
      </c>
      <c r="I138" s="25">
        <v>0</v>
      </c>
      <c r="J138" s="25">
        <v>0</v>
      </c>
      <c r="K138" s="9">
        <v>1.0659503956379133</v>
      </c>
      <c r="L138">
        <f t="shared" si="2"/>
        <v>1</v>
      </c>
    </row>
    <row r="139" spans="4:12" x14ac:dyDescent="0.35">
      <c r="D139" s="70" t="s">
        <v>92</v>
      </c>
      <c r="E139" s="25">
        <v>2018</v>
      </c>
      <c r="F139" s="34">
        <v>0.12881854240116875</v>
      </c>
      <c r="G139" s="20">
        <v>0.625</v>
      </c>
      <c r="H139" s="25">
        <v>0</v>
      </c>
      <c r="I139" s="25">
        <v>1</v>
      </c>
      <c r="J139" s="25">
        <v>0</v>
      </c>
      <c r="K139" s="9">
        <v>-7.205724116232555E-2</v>
      </c>
      <c r="L139">
        <f t="shared" si="2"/>
        <v>0</v>
      </c>
    </row>
    <row r="140" spans="4:12" x14ac:dyDescent="0.35">
      <c r="D140" s="70"/>
      <c r="E140" s="25">
        <v>2019</v>
      </c>
      <c r="F140" s="34">
        <v>4.1041446169229091E-2</v>
      </c>
      <c r="G140" s="20">
        <v>0.66666666666666663</v>
      </c>
      <c r="H140" s="25">
        <v>0</v>
      </c>
      <c r="I140" s="25">
        <v>1</v>
      </c>
      <c r="J140" s="25">
        <v>0</v>
      </c>
      <c r="K140" s="9">
        <v>6.484730300278374E-2</v>
      </c>
      <c r="L140">
        <f t="shared" si="2"/>
        <v>0</v>
      </c>
    </row>
    <row r="141" spans="4:12" x14ac:dyDescent="0.35">
      <c r="D141" s="70"/>
      <c r="E141" s="25">
        <v>2020</v>
      </c>
      <c r="F141" s="34">
        <v>0.1416116411702443</v>
      </c>
      <c r="G141" s="20">
        <v>0.625</v>
      </c>
      <c r="H141" s="25">
        <v>0</v>
      </c>
      <c r="I141" s="25">
        <v>1</v>
      </c>
      <c r="J141" s="25">
        <v>0</v>
      </c>
      <c r="K141" s="9">
        <v>-9.3308004886707707E-3</v>
      </c>
      <c r="L141">
        <f t="shared" si="2"/>
        <v>0</v>
      </c>
    </row>
    <row r="142" spans="4:12" x14ac:dyDescent="0.35">
      <c r="D142" s="70"/>
      <c r="E142" s="25">
        <v>2021</v>
      </c>
      <c r="F142" s="34">
        <v>3.9256024803051133E-2</v>
      </c>
      <c r="G142" s="20">
        <v>0.625</v>
      </c>
      <c r="H142" s="25">
        <v>0</v>
      </c>
      <c r="I142" s="25">
        <v>0</v>
      </c>
      <c r="J142" s="25">
        <v>0</v>
      </c>
      <c r="K142" s="9">
        <v>3.9852354739116365E-2</v>
      </c>
      <c r="L142">
        <f t="shared" si="2"/>
        <v>0</v>
      </c>
    </row>
  </sheetData>
  <mergeCells count="37">
    <mergeCell ref="D139:D142"/>
    <mergeCell ref="D115:D118"/>
    <mergeCell ref="D119:D122"/>
    <mergeCell ref="D123:D126"/>
    <mergeCell ref="D127:D130"/>
    <mergeCell ref="D131:D134"/>
    <mergeCell ref="D135:D138"/>
    <mergeCell ref="D111:D114"/>
    <mergeCell ref="D67:D70"/>
    <mergeCell ref="D71:D74"/>
    <mergeCell ref="D75:D78"/>
    <mergeCell ref="D79:D82"/>
    <mergeCell ref="D83:D86"/>
    <mergeCell ref="D87:D90"/>
    <mergeCell ref="D91:D94"/>
    <mergeCell ref="D95:D98"/>
    <mergeCell ref="D99:D102"/>
    <mergeCell ref="D103:D106"/>
    <mergeCell ref="D107:D110"/>
    <mergeCell ref="D63:D66"/>
    <mergeCell ref="D19:D22"/>
    <mergeCell ref="D23:D26"/>
    <mergeCell ref="D27:D30"/>
    <mergeCell ref="D31:D34"/>
    <mergeCell ref="D35:D38"/>
    <mergeCell ref="D39:D42"/>
    <mergeCell ref="D43:D46"/>
    <mergeCell ref="D47:D50"/>
    <mergeCell ref="D51:D54"/>
    <mergeCell ref="D55:D58"/>
    <mergeCell ref="D59:D62"/>
    <mergeCell ref="D15:D18"/>
    <mergeCell ref="D1:D2"/>
    <mergeCell ref="E1:E2"/>
    <mergeCell ref="D3:D6"/>
    <mergeCell ref="D7:D10"/>
    <mergeCell ref="D11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</vt:i4>
      </vt:variant>
    </vt:vector>
  </HeadingPairs>
  <TitlesOfParts>
    <vt:vector size="20" baseType="lpstr">
      <vt:lpstr>Average Total Assets</vt:lpstr>
      <vt:lpstr>ch receivable</vt:lpstr>
      <vt:lpstr>ch in cash sales</vt:lpstr>
      <vt:lpstr>Ch In earning</vt:lpstr>
      <vt:lpstr>Financial Performance</vt:lpstr>
      <vt:lpstr>WC</vt:lpstr>
      <vt:lpstr>NCO</vt:lpstr>
      <vt:lpstr>FIN</vt:lpstr>
      <vt:lpstr>RRST ACCRUAL</vt:lpstr>
      <vt:lpstr>FScore(Y)</vt:lpstr>
      <vt:lpstr>X1</vt:lpstr>
      <vt:lpstr>X2</vt:lpstr>
      <vt:lpstr>X3</vt:lpstr>
      <vt:lpstr>X4 dan X5</vt:lpstr>
      <vt:lpstr>Data</vt:lpstr>
      <vt:lpstr>Lembar1</vt:lpstr>
      <vt:lpstr>Lembar2</vt:lpstr>
      <vt:lpstr>ava</vt:lpstr>
      <vt:lpstr>kode</vt:lpstr>
      <vt:lpstr>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JULI YANDI RAHMAN</cp:lastModifiedBy>
  <dcterms:created xsi:type="dcterms:W3CDTF">2023-01-28T09:39:49Z</dcterms:created>
  <dcterms:modified xsi:type="dcterms:W3CDTF">2023-04-03T04:16:21Z</dcterms:modified>
</cp:coreProperties>
</file>